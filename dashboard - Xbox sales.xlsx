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B8EE6D43-91F0-4364-8A89-12D538E43AA6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Plan">#N/A</definedName>
    <definedName name="SegmentaçãodeDados_Subscription_Type">#N/A</definedName>
  </definedNames>
  <calcPr calcId="191028"/>
  <pivotCaches>
    <pivotCache cacheId="166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4" l="1"/>
</calcChain>
</file>

<file path=xl/sharedStrings.xml><?xml version="1.0" encoding="utf-8"?>
<sst xmlns="http://schemas.openxmlformats.org/spreadsheetml/2006/main" count="2038" uniqueCount="324">
  <si>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</si>
  <si>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</si>
  <si>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</si>
  <si>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</si>
  <si>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</si>
  <si>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</si>
  <si>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</si>
  <si>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</si>
  <si>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</si>
  <si>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</si>
  <si>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</si>
  <si>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</si>
  <si>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</si>
  <si>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</si>
  <si>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</si>
  <si>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</si>
  <si>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</si>
  <si>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</si>
  <si>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</si>
  <si>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</si>
  <si>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</si>
  <si>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</si>
  <si>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</si>
  <si>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</si>
  <si>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</si>
  <si>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</si>
  <si>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</si>
  <si>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</si>
  <si>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</si>
  <si>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</si>
  <si>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</si>
  <si>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</si>
  <si>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</si>
  <si>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</si>
  <si>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</si>
  <si>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</si>
  <si>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</si>
  <si>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</si>
  <si>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</si>
  <si>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</si>
  <si>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</si>
  <si>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</si>
  <si>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</si>
  <si>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</si>
  <si>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</si>
  <si>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</si>
  <si>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</si>
  <si>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</si>
  <si>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</si>
  <si>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</si>
  <si>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</si>
  <si>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</si>
  <si>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</si>
  <si>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</si>
  <si>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</si>
  <si>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</si>
  <si>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</si>
  <si>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</si>
  <si>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</si>
  <si>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</si>
  <si>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</si>
  <si>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</si>
  <si>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</si>
  <si>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</si>
  <si>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</si>
  <si>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</si>
  <si>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</si>
  <si>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</si>
  <si>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</si>
  <si>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</si>
  <si>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</si>
  <si>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</si>
  <si>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</si>
  <si>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</si>
  <si>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</si>
  <si>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</si>
  <si>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</si>
  <si>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</si>
  <si>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</si>
  <si>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</si>
  <si>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</si>
  <si>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</si>
  <si>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</si>
  <si>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</si>
  <si>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</si>
  <si>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</si>
  <si>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</si>
  <si>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</si>
  <si>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</si>
  <si>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</si>
  <si>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</si>
  <si>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</si>
  <si>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</si>
  <si>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</si>
  <si>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</si>
  <si>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</si>
  <si>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</si>
  <si>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</si>
  <si>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</si>
  <si>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</si>
  <si>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</si>
  <si>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</si>
  <si>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</si>
  <si>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</si>
  <si>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</si>
  <si>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</si>
  <si>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</si>
  <si>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</si>
  <si>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</si>
  <si>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</si>
  <si>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</si>
  <si>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</si>
  <si>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</si>
  <si>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</si>
  <si>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</si>
  <si>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</si>
  <si>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</si>
  <si>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</si>
  <si>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</si>
  <si>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</si>
  <si>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</si>
  <si>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</si>
  <si>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</si>
  <si>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</si>
  <si>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</si>
  <si>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</si>
  <si>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</si>
  <si>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</si>
  <si>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</si>
  <si>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</si>
  <si>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</si>
  <si>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</si>
  <si>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</si>
  <si>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</si>
  <si>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</si>
  <si>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</si>
  <si>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</si>
  <si>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</si>
  <si>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</si>
  <si>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</si>
  <si>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</si>
  <si>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</si>
  <si>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</si>
  <si>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</si>
  <si>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</si>
  <si>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</si>
  <si>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</si>
  <si>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</si>
  <si>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</si>
  <si>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</si>
  <si>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</si>
  <si>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</si>
  <si>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</si>
  <si>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</si>
  <si>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</si>
  <si>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</si>
  <si>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</si>
  <si>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</si>
  <si>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</si>
  <si>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</si>
  <si>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</si>
  <si>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</si>
  <si>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</si>
  <si>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</si>
  <si>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</si>
  <si>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</si>
  <si>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</si>
  <si>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</si>
  <si>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</si>
  <si>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</si>
  <si>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</si>
  <si>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</si>
  <si>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</si>
  <si>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</si>
  <si>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</si>
  <si>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</si>
  <si>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</si>
  <si>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</si>
  <si>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</si>
  <si>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</si>
  <si>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</si>
  <si>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</si>
  <si>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</si>
  <si>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</si>
  <si>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</si>
  <si>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</si>
  <si>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</si>
  <si>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</si>
  <si>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</si>
  <si>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</si>
  <si>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</si>
  <si>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</si>
  <si>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</si>
  <si>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</si>
  <si>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</si>
  <si>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</si>
  <si>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</si>
  <si>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</si>
  <si>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</si>
  <si>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</si>
  <si>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</si>
  <si>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</si>
  <si>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</si>
  <si>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</si>
  <si>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</si>
  <si>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</si>
  <si>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</si>
  <si>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</si>
  <si>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</si>
  <si>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</si>
  <si>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</si>
  <si>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</si>
  <si>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</si>
  <si>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</si>
  <si>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</si>
  <si>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</si>
  <si>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</si>
  <si>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</si>
  <si>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</si>
  <si>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</si>
  <si>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</si>
  <si>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</si>
  <si>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</si>
  <si>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</si>
  <si>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</si>
  <si>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</si>
  <si>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</si>
  <si>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</si>
  <si>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</si>
  <si>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</si>
  <si>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</si>
  <si>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</si>
  <si>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</si>
  <si>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</si>
  <si>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</si>
  <si>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</si>
  <si>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</si>
  <si>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</si>
  <si>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</si>
  <si>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</si>
  <si>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</si>
  <si>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</si>
  <si>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</si>
  <si>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</si>
  <si>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</si>
  <si>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</si>
  <si>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</si>
  <si>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</si>
  <si>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</si>
  <si>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</si>
  <si>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</si>
  <si>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</si>
  <si>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</si>
  <si>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</si>
  <si>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</si>
  <si>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</si>
  <si>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</si>
  <si>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</si>
  <si>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</si>
  <si>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</si>
  <si>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</si>
  <si>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</si>
  <si>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</si>
  <si>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</si>
  <si>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</si>
  <si>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</si>
  <si>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</si>
  <si>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</si>
  <si>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</si>
  <si>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</si>
  <si>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</si>
  <si>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</si>
  <si>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</si>
  <si>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</si>
  <si>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</si>
  <si>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</si>
  <si>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</si>
  <si>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</si>
  <si>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</si>
  <si>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</si>
  <si>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</si>
  <si>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</si>
  <si>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</si>
  <si>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</si>
  <si>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</si>
  <si>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</si>
  <si>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</si>
  <si>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</si>
  <si>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</si>
  <si>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</si>
  <si>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</si>
  <si>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</si>
  <si>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</si>
  <si>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</si>
  <si>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</si>
  <si>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</si>
  <si>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</si>
  <si>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</si>
  <si>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</si>
  <si>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</si>
  <si>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</si>
  <si>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</si>
  <si>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</si>
  <si>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</si>
  <si>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</si>
  <si>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</si>
  <si>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</si>
  <si>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</si>
  <si>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</si>
  <si>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</si>
  <si>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</si>
  <si>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</si>
  <si>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</si>
  <si>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Pergunta de Negócio 1</t>
  </si>
  <si>
    <t>Qual o faturamento total da empresa?</t>
  </si>
  <si>
    <t>Soma de Total Value</t>
  </si>
  <si>
    <t>Pergunta de Negócio 2</t>
  </si>
  <si>
    <t>Qual plano possui maior faturamento?</t>
  </si>
  <si>
    <t>Total Geral</t>
  </si>
  <si>
    <t>Pergunta de Negócio 3</t>
  </si>
  <si>
    <t xml:space="preserve">Qual o faturamento separado por renovação automática?
</t>
  </si>
  <si>
    <t>Calculated period: 01/01/2024 - 31/12/2024</t>
  </si>
  <si>
    <t>Subscription Sales Dashboard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</si>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</sst>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3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rgb="FF000000"/>
      <name val="Aptos Narrow"/>
      <scheme val="minor"/>
    </font>
    <font>
      <b/>
      <sz val="11"/>
      <color rgb="FF000000"/>
      <name val="Aptos Narrow"/>
      <charset val="1"/>
    </font>
    <font>
      <sz val="11"/>
      <color rgb="FF000000"/>
      <name val="Aptos Narrow"/>
      <scheme val="minor"/>
    </font>
    <font>
      <b/>
      <sz val="36"/>
      <color theme="1"/>
      <name val="Aptos Narrow"/>
      <family val="2"/>
      <scheme val="minor"/>
    </font>
    <font>
      <b/>
      <sz val="14"/>
      <color rgb="FF000000"/>
      <name val="Segoe UI"/>
    </font>
    <font>
      <b/>
      <sz val="18"/>
      <color rgb="FF000000"/>
      <name val="Aptos Narrow"/>
      <scheme val="minor"/>
    </font>
    <font>
      <sz val="10"/>
      <color rgb="FF000000"/>
      <name val="Aptos Narrow"/>
      <scheme val="minor"/>
    </font>
    <font>
      <b/>
      <sz val="8"/>
      <color rgb="FFFFFFFF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139407"/>
        <bgColor indexed="64"/>
      </patternFill>
    </fill>
    <fill>
      <patternFill patternType="solid">
        <fgColor rgb="FF96CD5B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ck">
        <color rgb="FF139407"/>
      </right>
      <top/>
      <bottom/>
      <diagonal/>
    </border>
    <border>
      <left style="medium">
        <color rgb="FF139407"/>
      </left>
      <right/>
      <top/>
      <bottom/>
      <diagonal/>
    </border>
    <border>
      <left/>
      <right style="medium">
        <color rgb="FF139407"/>
      </right>
      <top/>
      <bottom/>
      <diagonal/>
    </border>
    <border>
      <left style="medium">
        <color rgb="FF139407"/>
      </left>
      <right/>
      <top/>
      <bottom style="medium">
        <color rgb="FF139407"/>
      </bottom>
      <diagonal/>
    </border>
    <border>
      <left/>
      <right/>
      <top/>
      <bottom style="medium">
        <color rgb="FF139407"/>
      </bottom>
      <diagonal/>
    </border>
    <border>
      <left/>
      <right style="medium">
        <color rgb="FF139407"/>
      </right>
      <top/>
      <bottom style="medium">
        <color rgb="FF139407"/>
      </bottom>
      <diagonal/>
    </border>
    <border>
      <left style="medium">
        <color rgb="FF139407"/>
      </left>
      <right/>
      <top style="medium">
        <color rgb="FF139407"/>
      </top>
      <bottom style="medium">
        <color rgb="FF139407"/>
      </bottom>
      <diagonal/>
    </border>
    <border>
      <left/>
      <right/>
      <top style="medium">
        <color rgb="FF139407"/>
      </top>
      <bottom style="medium">
        <color rgb="FF139407"/>
      </bottom>
      <diagonal/>
    </border>
    <border>
      <left/>
      <right style="medium">
        <color rgb="FF139407"/>
      </right>
      <top style="medium">
        <color rgb="FF139407"/>
      </top>
      <bottom style="medium">
        <color rgb="FF139407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8" borderId="0" xfId="0" applyFill="1"/>
    <xf numFmtId="0" fontId="0" fillId="9" borderId="0" xfId="0" applyFill="1"/>
    <xf numFmtId="0" fontId="0" fillId="4" borderId="2" xfId="0" applyFill="1" applyBorder="1"/>
    <xf numFmtId="0" fontId="4" fillId="0" borderId="0" xfId="0" applyFont="1"/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pivotButton="1"/>
    <xf numFmtId="0" fontId="5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4" xfId="0" applyBorder="1"/>
    <xf numFmtId="0" fontId="9" fillId="10" borderId="8" xfId="0" applyFont="1" applyFill="1" applyBorder="1"/>
    <xf numFmtId="0" fontId="0" fillId="10" borderId="9" xfId="0" applyFill="1" applyBorder="1"/>
    <xf numFmtId="0" fontId="0" fillId="10" borderId="10" xfId="0" applyFill="1" applyBorder="1"/>
    <xf numFmtId="0" fontId="10" fillId="0" borderId="0" xfId="0" applyFont="1"/>
    <xf numFmtId="164" fontId="8" fillId="0" borderId="3" xfId="0" applyNumberFormat="1" applyFont="1" applyBorder="1" applyAlignment="1">
      <alignment horizontal="center" wrapText="1"/>
    </xf>
    <xf numFmtId="164" fontId="8" fillId="0" borderId="0" xfId="0" applyNumberFormat="1" applyFont="1" applyAlignment="1">
      <alignment horizontal="center" wrapText="1"/>
    </xf>
    <xf numFmtId="164" fontId="8" fillId="0" borderId="4" xfId="0" applyNumberFormat="1" applyFont="1" applyBorder="1" applyAlignment="1">
      <alignment horizontal="center" wrapText="1"/>
    </xf>
    <xf numFmtId="0" fontId="0" fillId="0" borderId="0" xfId="0" applyNumberFormat="1"/>
    <xf numFmtId="0" fontId="11" fillId="4" borderId="0" xfId="0" applyFont="1" applyFill="1"/>
    <xf numFmtId="0" fontId="12" fillId="4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5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colors>
    <mruColors>
      <color rgb="FF96CD5B"/>
      <color rgb="FF139407"/>
      <color rgb="FFE0E0E0"/>
      <color rgb="FF22C55E"/>
      <color rgb="FF55B621"/>
      <color rgb="FFE8E6E9"/>
      <color rgb="FF5BF6A8"/>
      <color rgb="FF000000"/>
      <color rgb="FFEDEDED"/>
      <color rgb="FFF7F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Xbox sales.xlsx]C̳álculos!Revenue by Plan Type</c:name>
    <c:fmtId val="0"/>
  </c:pivotSource>
  <c:chart>
    <c:autoTitleDeleted val="1"/>
    <c:pivotFmts>
      <c:pivotFmt>
        <c:idx val="0"/>
        <c:spPr>
          <a:solidFill>
            <a:srgbClr val="55B62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5B62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C̳álculos!$C$9:$C$12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C̳álculos!$D$9:$D$12</c:f>
              <c:numCache>
                <c:formatCode>General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16-4556-9F36-5B337DC01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9746440"/>
        <c:axId val="1009748488"/>
      </c:barChart>
      <c:catAx>
        <c:axId val="1009746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748488"/>
        <c:crosses val="autoZero"/>
        <c:auto val="1"/>
        <c:lblAlgn val="ctr"/>
        <c:lblOffset val="100"/>
        <c:noMultiLvlLbl val="0"/>
      </c:catAx>
      <c:valAx>
        <c:axId val="10097484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9746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Xbox sales.xlsx]C̳álculos!Revenue by Auto Renewal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Auto Renewal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3C7D2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3940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3C7D2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C̳álculos!$D$15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C7D22"/>
            </a:solidFill>
          </c:spPr>
          <c:dPt>
            <c:idx val="0"/>
            <c:bubble3D val="0"/>
            <c:spPr>
              <a:solidFill>
                <a:srgbClr val="13940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12-4F65-8F95-A073244EBE96}"/>
              </c:ext>
            </c:extLst>
          </c:dPt>
          <c:dPt>
            <c:idx val="1"/>
            <c:bubble3D val="0"/>
            <c:spPr>
              <a:solidFill>
                <a:srgbClr val="3C7D2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12-4F65-8F95-A073244EBE96}"/>
              </c:ext>
            </c:extLst>
          </c:dPt>
          <c:cat>
            <c:strRef>
              <c:f>C̳álculos!$C$16:$C$18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C̳álculos!$D$16:$D$18</c:f>
              <c:numCache>
                <c:formatCode>General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12-4F65-8F95-A073244EB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Xbox sales.xlsx]C̳álculos!Tabela dinâmica2</c:name>
    <c:fmtId val="0"/>
  </c:pivotSource>
  <c:chart>
    <c:autoTitleDeleted val="1"/>
    <c:pivotFmts>
      <c:pivotFmt>
        <c:idx val="0"/>
        <c:spPr>
          <a:solidFill>
            <a:srgbClr val="3C7D2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C7D2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C̳álculos!$B$23:$B$26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C̳álculos!$C$23:$C$26</c:f>
              <c:numCache>
                <c:formatCode>General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00-48BE-938D-00D6E50D5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8464264"/>
        <c:axId val="298466312"/>
      </c:barChart>
      <c:catAx>
        <c:axId val="298464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466312"/>
        <c:crosses val="autoZero"/>
        <c:auto val="1"/>
        <c:lblAlgn val="ctr"/>
        <c:lblOffset val="100"/>
        <c:noMultiLvlLbl val="0"/>
      </c:catAx>
      <c:valAx>
        <c:axId val="2984663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98464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7" Type="http://schemas.openxmlformats.org/officeDocument/2006/relationships/chart" Target="../charts/chart3.xml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12</xdr:col>
      <xdr:colOff>104775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104775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257175</xdr:colOff>
      <xdr:row>17</xdr:row>
      <xdr:rowOff>9525</xdr:rowOff>
    </xdr:from>
    <xdr:to>
      <xdr:col>11</xdr:col>
      <xdr:colOff>171450</xdr:colOff>
      <xdr:row>30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ubscription Type">
              <a:extLst>
                <a:ext uri="{FF2B5EF4-FFF2-40B4-BE49-F238E27FC236}">
                  <a16:creationId xmlns:a16="http://schemas.microsoft.com/office/drawing/2014/main" id="{E01B3892-240F-557A-6DE4-23F13B9E6A4B}"/>
                </a:ext>
                <a:ext uri="{147F2762-F138-4A5C-976F-8EAC2B608ADB}">
                  <a16:predDERef xmlns:a16="http://schemas.microsoft.com/office/drawing/2014/main" pred="{C004F30A-D860-6505-73AE-D8D70F3D8E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91450" y="31242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542925</xdr:colOff>
      <xdr:row>8</xdr:row>
      <xdr:rowOff>104775</xdr:rowOff>
    </xdr:from>
    <xdr:to>
      <xdr:col>16</xdr:col>
      <xdr:colOff>552450</xdr:colOff>
      <xdr:row>14</xdr:row>
      <xdr:rowOff>38100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324A2173-3B62-40A2-9DAB-E6FC0CEBEC4B}"/>
            </a:ext>
            <a:ext uri="{147F2762-F138-4A5C-976F-8EAC2B608ADB}">
              <a16:predDERef xmlns:a16="http://schemas.microsoft.com/office/drawing/2014/main" pred="{64C1BCC4-85DD-592E-3216-5A46105D37A2}"/>
            </a:ext>
          </a:extLst>
        </xdr:cNvPr>
        <xdr:cNvSpPr/>
      </xdr:nvSpPr>
      <xdr:spPr>
        <a:xfrm>
          <a:off x="6362700" y="1524000"/>
          <a:ext cx="3495675" cy="1704975"/>
        </a:xfrm>
        <a:prstGeom prst="rect">
          <a:avLst/>
        </a:prstGeom>
        <a:ln>
          <a:solidFill>
            <a:srgbClr val="139407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9</xdr:col>
      <xdr:colOff>390525</xdr:colOff>
      <xdr:row>30</xdr:row>
      <xdr:rowOff>85725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377DC0B8-7601-4955-8E10-8FACF91C7F08}"/>
            </a:ext>
            <a:ext uri="{147F2762-F138-4A5C-976F-8EAC2B608ADB}">
              <a16:predDERef xmlns:a16="http://schemas.microsoft.com/office/drawing/2014/main" pred="{DC788A9B-05C0-4CDF-B170-5D1D0FB03751}"/>
            </a:ext>
          </a:extLst>
        </xdr:cNvPr>
        <xdr:cNvSpPr/>
      </xdr:nvSpPr>
      <xdr:spPr>
        <a:xfrm>
          <a:off x="2133600" y="3448050"/>
          <a:ext cx="3467100" cy="2638425"/>
        </a:xfrm>
        <a:prstGeom prst="rect">
          <a:avLst/>
        </a:prstGeom>
        <a:ln>
          <a:solidFill>
            <a:srgbClr val="139407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10</xdr:col>
      <xdr:colOff>561975</xdr:colOff>
      <xdr:row>16</xdr:row>
      <xdr:rowOff>95250</xdr:rowOff>
    </xdr:from>
    <xdr:to>
      <xdr:col>16</xdr:col>
      <xdr:colOff>571500</xdr:colOff>
      <xdr:row>30</xdr:row>
      <xdr:rowOff>133350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0B178C18-3574-CDF2-B8B4-A49C83A71090}"/>
            </a:ext>
            <a:ext uri="{147F2762-F138-4A5C-976F-8EAC2B608ADB}">
              <a16:predDERef xmlns:a16="http://schemas.microsoft.com/office/drawing/2014/main" pred="{377DC0B8-7601-4955-8E10-8FACF91C7F08}"/>
            </a:ext>
          </a:extLst>
        </xdr:cNvPr>
        <xdr:cNvSpPr/>
      </xdr:nvSpPr>
      <xdr:spPr>
        <a:xfrm>
          <a:off x="6381750" y="3429000"/>
          <a:ext cx="3495675" cy="2705100"/>
        </a:xfrm>
        <a:prstGeom prst="rect">
          <a:avLst/>
        </a:prstGeom>
        <a:ln>
          <a:solidFill>
            <a:srgbClr val="139407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8</xdr:col>
      <xdr:colOff>552450</xdr:colOff>
      <xdr:row>0</xdr:row>
      <xdr:rowOff>57150</xdr:rowOff>
    </xdr:from>
    <xdr:to>
      <xdr:col>13</xdr:col>
      <xdr:colOff>323850</xdr:colOff>
      <xdr:row>2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98B9B0C-7E27-47EC-8A70-FB21B11E7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4" t="24691" r="3994" b="21164"/>
        <a:stretch>
          <a:fillRect/>
        </a:stretch>
      </xdr:blipFill>
      <xdr:spPr>
        <a:xfrm>
          <a:off x="5610225" y="57150"/>
          <a:ext cx="2647950" cy="647700"/>
        </a:xfrm>
        <a:prstGeom prst="rect">
          <a:avLst/>
        </a:prstGeom>
      </xdr:spPr>
    </xdr:pic>
    <xdr:clientData/>
  </xdr:twoCellAnchor>
  <xdr:twoCellAnchor editAs="oneCell">
    <xdr:from>
      <xdr:col>19</xdr:col>
      <xdr:colOff>247650</xdr:colOff>
      <xdr:row>5</xdr:row>
      <xdr:rowOff>19050</xdr:rowOff>
    </xdr:from>
    <xdr:to>
      <xdr:col>19</xdr:col>
      <xdr:colOff>485775</xdr:colOff>
      <xdr:row>5</xdr:row>
      <xdr:rowOff>257175</xdr:rowOff>
    </xdr:to>
    <xdr:pic>
      <xdr:nvPicPr>
        <xdr:cNvPr id="3" name="Imagem 2" descr="Lupa com preenchimento sólido">
          <a:extLst>
            <a:ext uri="{FF2B5EF4-FFF2-40B4-BE49-F238E27FC236}">
              <a16:creationId xmlns:a16="http://schemas.microsoft.com/office/drawing/2014/main" id="{83995FC2-8959-49EC-8256-A83D88CAA502}"/>
            </a:ext>
            <a:ext uri="{147F2762-F138-4A5C-976F-8EAC2B608ADB}">
              <a16:predDERef xmlns:a16="http://schemas.microsoft.com/office/drawing/2014/main" pred="{098B9B0C-7E27-47EC-8A70-FB21B11E7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382375" y="847725"/>
          <a:ext cx="238125" cy="238125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0</xdr:row>
      <xdr:rowOff>114300</xdr:rowOff>
    </xdr:from>
    <xdr:to>
      <xdr:col>0</xdr:col>
      <xdr:colOff>828675</xdr:colOff>
      <xdr:row>2</xdr:row>
      <xdr:rowOff>28575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8DB38EA-7D2F-4460-BB38-1304CCD11100}"/>
            </a:ext>
            <a:ext uri="{147F2762-F138-4A5C-976F-8EAC2B608ADB}">
              <a16:predDERef xmlns:a16="http://schemas.microsoft.com/office/drawing/2014/main" pred="{83995FC2-8959-49EC-8256-A83D88CAA502}"/>
            </a:ext>
          </a:extLst>
        </xdr:cNvPr>
        <xdr:cNvSpPr/>
      </xdr:nvSpPr>
      <xdr:spPr>
        <a:xfrm>
          <a:off x="200025" y="114300"/>
          <a:ext cx="628650" cy="600075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1066800</xdr:colOff>
      <xdr:row>1</xdr:row>
      <xdr:rowOff>9525</xdr:rowOff>
    </xdr:from>
    <xdr:to>
      <xdr:col>4</xdr:col>
      <xdr:colOff>0</xdr:colOff>
      <xdr:row>1</xdr:row>
      <xdr:rowOff>419100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2FD1FAA-60B1-A5C1-09A9-FB1B47E6A944}"/>
            </a:ext>
            <a:ext uri="{147F2762-F138-4A5C-976F-8EAC2B608ADB}">
              <a16:predDERef xmlns:a16="http://schemas.microsoft.com/office/drawing/2014/main" pred="{48DB38EA-7D2F-4460-BB38-1304CCD11100}"/>
            </a:ext>
          </a:extLst>
        </xdr:cNvPr>
        <xdr:cNvSpPr txBox="1"/>
      </xdr:nvSpPr>
      <xdr:spPr>
        <a:xfrm>
          <a:off x="1066800" y="200025"/>
          <a:ext cx="1066800" cy="40957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Welcome, user!</a:t>
          </a:r>
        </a:p>
      </xdr:txBody>
    </xdr:sp>
    <xdr:clientData/>
  </xdr:twoCellAnchor>
  <xdr:twoCellAnchor>
    <xdr:from>
      <xdr:col>17</xdr:col>
      <xdr:colOff>561975</xdr:colOff>
      <xdr:row>0</xdr:row>
      <xdr:rowOff>76200</xdr:rowOff>
    </xdr:from>
    <xdr:to>
      <xdr:col>20</xdr:col>
      <xdr:colOff>38100</xdr:colOff>
      <xdr:row>1</xdr:row>
      <xdr:rowOff>161925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75420EA-A561-4C32-B67B-653AC753A57C}"/>
            </a:ext>
            <a:ext uri="{147F2762-F138-4A5C-976F-8EAC2B608ADB}">
              <a16:predDERef xmlns:a16="http://schemas.microsoft.com/office/drawing/2014/main" pred="{22FD1FAA-60B1-A5C1-09A9-FB1B47E6A944}"/>
            </a:ext>
          </a:extLst>
        </xdr:cNvPr>
        <xdr:cNvSpPr txBox="1"/>
      </xdr:nvSpPr>
      <xdr:spPr>
        <a:xfrm>
          <a:off x="10934700" y="76200"/>
          <a:ext cx="130492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800" b="1" i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last update: </a:t>
          </a:r>
        </a:p>
      </xdr:txBody>
    </xdr:sp>
    <xdr:clientData/>
  </xdr:twoCellAnchor>
  <xdr:twoCellAnchor>
    <xdr:from>
      <xdr:col>17</xdr:col>
      <xdr:colOff>571500</xdr:colOff>
      <xdr:row>1</xdr:row>
      <xdr:rowOff>266700</xdr:rowOff>
    </xdr:from>
    <xdr:to>
      <xdr:col>20</xdr:col>
      <xdr:colOff>47625</xdr:colOff>
      <xdr:row>2</xdr:row>
      <xdr:rowOff>47625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C7352FC-DEC3-43A2-B791-367C86B56434}"/>
            </a:ext>
            <a:ext uri="{147F2762-F138-4A5C-976F-8EAC2B608ADB}">
              <a16:predDERef xmlns:a16="http://schemas.microsoft.com/office/drawing/2014/main" pred="{975420EA-A561-4C32-B67B-653AC753A57C}"/>
            </a:ext>
          </a:extLst>
        </xdr:cNvPr>
        <xdr:cNvSpPr txBox="1"/>
      </xdr:nvSpPr>
      <xdr:spPr>
        <a:xfrm>
          <a:off x="10944225" y="457200"/>
          <a:ext cx="130492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800" b="1" i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07/05/2026</a:t>
          </a:r>
        </a:p>
      </xdr:txBody>
    </xdr:sp>
    <xdr:clientData/>
  </xdr:twoCellAnchor>
  <xdr:twoCellAnchor>
    <xdr:from>
      <xdr:col>17</xdr:col>
      <xdr:colOff>533400</xdr:colOff>
      <xdr:row>1</xdr:row>
      <xdr:rowOff>38100</xdr:rowOff>
    </xdr:from>
    <xdr:to>
      <xdr:col>20</xdr:col>
      <xdr:colOff>9525</xdr:colOff>
      <xdr:row>1</xdr:row>
      <xdr:rowOff>314325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0D5BE4A-539B-4D7A-9CE8-F791B83F30C3}"/>
            </a:ext>
            <a:ext uri="{147F2762-F138-4A5C-976F-8EAC2B608ADB}">
              <a16:predDERef xmlns:a16="http://schemas.microsoft.com/office/drawing/2014/main" pred="{CC7352FC-DEC3-43A2-B791-367C86B56434}"/>
            </a:ext>
          </a:extLst>
        </xdr:cNvPr>
        <xdr:cNvSpPr txBox="1"/>
      </xdr:nvSpPr>
      <xdr:spPr>
        <a:xfrm>
          <a:off x="10906125" y="228600"/>
          <a:ext cx="130492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11:05 PM</a:t>
          </a:r>
        </a:p>
      </xdr:txBody>
    </xdr:sp>
    <xdr:clientData/>
  </xdr:twoCellAnchor>
  <xdr:twoCellAnchor>
    <xdr:from>
      <xdr:col>11</xdr:col>
      <xdr:colOff>200025</xdr:colOff>
      <xdr:row>15</xdr:row>
      <xdr:rowOff>95250</xdr:rowOff>
    </xdr:from>
    <xdr:to>
      <xdr:col>15</xdr:col>
      <xdr:colOff>276225</xdr:colOff>
      <xdr:row>30</xdr:row>
      <xdr:rowOff>114300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A2E3586-07A1-E30E-3FFD-A645E8A487A1}"/>
            </a:ext>
            <a:ext uri="{147F2762-F138-4A5C-976F-8EAC2B608ADB}">
              <a16:predDERef xmlns:a16="http://schemas.microsoft.com/office/drawing/2014/main" pred="{E0D5BE4A-539B-4D7A-9CE8-F791B83F3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66675</xdr:colOff>
      <xdr:row>5</xdr:row>
      <xdr:rowOff>19050</xdr:rowOff>
    </xdr:from>
    <xdr:to>
      <xdr:col>0</xdr:col>
      <xdr:colOff>1143000</xdr:colOff>
      <xdr:row>8</xdr:row>
      <xdr:rowOff>400050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Plan 1">
              <a:extLst>
                <a:ext uri="{FF2B5EF4-FFF2-40B4-BE49-F238E27FC236}">
                  <a16:creationId xmlns:a16="http://schemas.microsoft.com/office/drawing/2014/main" id="{F3071BA0-73C2-45FF-35C2-80829A2624CC}"/>
                </a:ext>
                <a:ext uri="{147F2762-F138-4A5C-976F-8EAC2B608ADB}">
                  <a16:predDERef xmlns:a16="http://schemas.microsoft.com/office/drawing/2014/main" pred="{9A2E3586-07A1-E30E-3FFD-A645E8A487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" y="1066800"/>
              <a:ext cx="1076325" cy="1066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</xdr:col>
      <xdr:colOff>200025</xdr:colOff>
      <xdr:row>17</xdr:row>
      <xdr:rowOff>57150</xdr:rowOff>
    </xdr:from>
    <xdr:to>
      <xdr:col>10</xdr:col>
      <xdr:colOff>47625</xdr:colOff>
      <xdr:row>29</xdr:row>
      <xdr:rowOff>171450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C788A9B-05C0-4CDF-B170-5D1D0FB03751}"/>
            </a:ext>
            <a:ext uri="{147F2762-F138-4A5C-976F-8EAC2B608ADB}">
              <a16:predDERef xmlns:a16="http://schemas.microsoft.com/office/drawing/2014/main" pred="{F3071BA0-73C2-45FF-35C2-80829A262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571500</xdr:colOff>
      <xdr:row>7</xdr:row>
      <xdr:rowOff>104775</xdr:rowOff>
    </xdr:from>
    <xdr:to>
      <xdr:col>16</xdr:col>
      <xdr:colOff>600075</xdr:colOff>
      <xdr:row>14</xdr:row>
      <xdr:rowOff>180975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4C1BCC4-85DD-592E-3216-5A46105D37A2}"/>
            </a:ext>
            <a:ext uri="{147F2762-F138-4A5C-976F-8EAC2B608ADB}">
              <a16:predDERef xmlns:a16="http://schemas.microsoft.com/office/drawing/2014/main" pred="{DC788A9B-05C0-4CDF-B170-5D1D0FB03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457243171295" createdVersion="8" refreshedVersion="8" minRefreshableVersion="3" recordCount="297" xr:uid="{DC0DEAB2-1DC8-4FD5-B843-2A4743E5ABF4}">
  <cacheSource type="worksheet">
    <worksheetSource ref="A1:M1048576" sheet="B̳ases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/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/>
    </cacheField>
    <cacheField name="EA Play Season Pass_x000a_Price" numFmtId="0">
      <sharedItems containsBlank="1" containsMixedTypes="1" containsNumber="1" containsInteger="1" minValue="30" maxValue="30"/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 count="16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  <m/>
      </sharedItems>
    </cacheField>
  </cacheFields>
  <extLst>
    <ext xmlns:x14="http://schemas.microsoft.com/office/spreadsheetml/2009/9/main" uri="{725AE2AE-9491-48be-B2B4-4EB974FC3084}">
      <x14:pivotCacheDefinition pivotCacheId="6518224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">
  <r>
    <n v="3231"/>
    <s v="João Silva"/>
    <x v="0"/>
    <d v="2024-01-01T00:00:00"/>
    <x v="0"/>
    <n v="15"/>
    <x v="0"/>
    <s v="Yes"/>
    <n v="30"/>
    <s v="Yes"/>
    <n v="20"/>
    <n v="5"/>
    <x v="0"/>
  </r>
  <r>
    <n v="3232"/>
    <s v="Maria Oliveira"/>
    <x v="1"/>
    <d v="2024-01-15T00:00:00"/>
    <x v="1"/>
    <n v="5"/>
    <x v="1"/>
    <s v="No"/>
    <s v="-"/>
    <s v="No"/>
    <n v="0"/>
    <n v="0"/>
    <x v="1"/>
  </r>
  <r>
    <n v="3233"/>
    <s v="Lucas Fernandes"/>
    <x v="2"/>
    <d v="2024-02-10T00:00:00"/>
    <x v="0"/>
    <n v="10"/>
    <x v="2"/>
    <s v="No"/>
    <s v="-"/>
    <s v="Yes"/>
    <n v="20"/>
    <n v="10"/>
    <x v="2"/>
  </r>
  <r>
    <n v="3234"/>
    <s v="Ana Souza"/>
    <x v="0"/>
    <d v="2024-02-20T00:00:00"/>
    <x v="1"/>
    <n v="15"/>
    <x v="0"/>
    <s v="Yes"/>
    <n v="30"/>
    <s v="Yes"/>
    <n v="20"/>
    <n v="3"/>
    <x v="3"/>
  </r>
  <r>
    <n v="3235"/>
    <s v="Pedro Gonçalves"/>
    <x v="1"/>
    <d v="2024-03-05T00:00:00"/>
    <x v="0"/>
    <n v="5"/>
    <x v="0"/>
    <s v="No"/>
    <s v="-"/>
    <s v="No"/>
    <n v="0"/>
    <n v="1"/>
    <x v="4"/>
  </r>
  <r>
    <n v="3236"/>
    <s v="Felipe Costa"/>
    <x v="2"/>
    <d v="2024-03-02T00:00:00"/>
    <x v="1"/>
    <n v="10"/>
    <x v="0"/>
    <s v="No"/>
    <s v="-"/>
    <s v="Yes"/>
    <n v="20"/>
    <n v="2"/>
    <x v="5"/>
  </r>
  <r>
    <n v="3237"/>
    <s v="Camila Ribeiro"/>
    <x v="0"/>
    <d v="2024-03-03T00:00:00"/>
    <x v="0"/>
    <n v="15"/>
    <x v="2"/>
    <s v="Yes"/>
    <n v="30"/>
    <s v="Yes"/>
    <n v="20"/>
    <n v="10"/>
    <x v="6"/>
  </r>
  <r>
    <n v="3238"/>
    <s v="André Mendes"/>
    <x v="1"/>
    <d v="2024-03-04T00:00:00"/>
    <x v="0"/>
    <n v="5"/>
    <x v="1"/>
    <s v="No"/>
    <s v="-"/>
    <s v="No"/>
    <n v="0"/>
    <n v="0"/>
    <x v="1"/>
  </r>
  <r>
    <n v="3239"/>
    <s v="Sofia Almeida"/>
    <x v="0"/>
    <d v="2024-03-05T00:00:00"/>
    <x v="1"/>
    <n v="15"/>
    <x v="0"/>
    <s v="Yes"/>
    <n v="30"/>
    <s v="Yes"/>
    <n v="20"/>
    <n v="5"/>
    <x v="0"/>
  </r>
  <r>
    <n v="3240"/>
    <s v="Bruno Martins"/>
    <x v="2"/>
    <d v="2024-03-06T00:00:00"/>
    <x v="0"/>
    <n v="10"/>
    <x v="2"/>
    <s v="No"/>
    <s v="-"/>
    <s v="Yes"/>
    <n v="20"/>
    <n v="15"/>
    <x v="7"/>
  </r>
  <r>
    <n v="3241"/>
    <s v="Rita Castro"/>
    <x v="1"/>
    <d v="2024-03-07T00:00:00"/>
    <x v="1"/>
    <n v="5"/>
    <x v="0"/>
    <s v="No"/>
    <s v="-"/>
    <s v="No"/>
    <n v="0"/>
    <n v="1"/>
    <x v="4"/>
  </r>
  <r>
    <n v="3242"/>
    <s v="Marco Túlio"/>
    <x v="0"/>
    <d v="2024-03-08T00:00:00"/>
    <x v="0"/>
    <n v="15"/>
    <x v="1"/>
    <s v="Yes"/>
    <n v="30"/>
    <s v="Yes"/>
    <n v="20"/>
    <n v="20"/>
    <x v="8"/>
  </r>
  <r>
    <n v="3243"/>
    <s v="Lívia Silveira"/>
    <x v="2"/>
    <d v="2024-03-09T00:00:00"/>
    <x v="1"/>
    <n v="10"/>
    <x v="0"/>
    <s v="No"/>
    <s v="-"/>
    <s v="Yes"/>
    <n v="20"/>
    <n v="10"/>
    <x v="2"/>
  </r>
  <r>
    <n v="3244"/>
    <s v="Diogo Sousa"/>
    <x v="1"/>
    <d v="2024-03-10T00:00:00"/>
    <x v="0"/>
    <n v="5"/>
    <x v="2"/>
    <s v="No"/>
    <s v="-"/>
    <s v="No"/>
    <n v="0"/>
    <n v="0"/>
    <x v="1"/>
  </r>
  <r>
    <n v="3245"/>
    <s v="Fernanda Lima"/>
    <x v="0"/>
    <d v="2024-03-11T00:00:00"/>
    <x v="1"/>
    <n v="15"/>
    <x v="0"/>
    <s v="Yes"/>
    <n v="30"/>
    <s v="Yes"/>
    <n v="20"/>
    <n v="8"/>
    <x v="9"/>
  </r>
  <r>
    <n v="3246"/>
    <s v="Caio Pereira"/>
    <x v="2"/>
    <d v="2024-03-12T00:00:00"/>
    <x v="0"/>
    <n v="10"/>
    <x v="1"/>
    <s v="No"/>
    <s v="-"/>
    <s v="Yes"/>
    <n v="20"/>
    <n v="12"/>
    <x v="10"/>
  </r>
  <r>
    <n v="3247"/>
    <s v="Beatriz Gomes"/>
    <x v="1"/>
    <d v="2024-03-13T00:00:00"/>
    <x v="1"/>
    <n v="5"/>
    <x v="0"/>
    <s v="No"/>
    <s v="-"/>
    <s v="No"/>
    <n v="0"/>
    <n v="2"/>
    <x v="11"/>
  </r>
  <r>
    <n v="3248"/>
    <s v="Cesar Oliveira"/>
    <x v="0"/>
    <d v="2024-03-14T00:00:00"/>
    <x v="0"/>
    <n v="15"/>
    <x v="2"/>
    <s v="Yes"/>
    <n v="30"/>
    <s v="Yes"/>
    <n v="20"/>
    <n v="7"/>
    <x v="12"/>
  </r>
  <r>
    <n v="3249"/>
    <s v="Débora Machado"/>
    <x v="2"/>
    <d v="2024-03-15T00:00:00"/>
    <x v="1"/>
    <n v="10"/>
    <x v="0"/>
    <s v="No"/>
    <s v="-"/>
    <s v="Yes"/>
    <n v="20"/>
    <n v="5"/>
    <x v="13"/>
  </r>
  <r>
    <n v="3250"/>
    <s v="Eduardo Vargas"/>
    <x v="1"/>
    <d v="2024-03-16T00:00:00"/>
    <x v="0"/>
    <n v="5"/>
    <x v="1"/>
    <s v="No"/>
    <s v="-"/>
    <s v="No"/>
    <n v="0"/>
    <n v="0"/>
    <x v="1"/>
  </r>
  <r>
    <n v="3251"/>
    <s v="Gabriela Santos"/>
    <x v="0"/>
    <d v="2024-03-17T00:00:00"/>
    <x v="1"/>
    <n v="15"/>
    <x v="0"/>
    <s v="Yes"/>
    <n v="30"/>
    <s v="Yes"/>
    <n v="20"/>
    <n v="3"/>
    <x v="3"/>
  </r>
  <r>
    <n v="3252"/>
    <s v="Henrique Dias"/>
    <x v="2"/>
    <d v="2024-03-18T00:00:00"/>
    <x v="0"/>
    <n v="10"/>
    <x v="2"/>
    <s v="No"/>
    <s v="-"/>
    <s v="Yes"/>
    <n v="20"/>
    <n v="15"/>
    <x v="7"/>
  </r>
  <r>
    <n v="3253"/>
    <s v="Isabela Moreira"/>
    <x v="1"/>
    <d v="2024-03-19T00:00:00"/>
    <x v="1"/>
    <n v="5"/>
    <x v="0"/>
    <s v="No"/>
    <s v="-"/>
    <s v="No"/>
    <n v="0"/>
    <n v="1"/>
    <x v="4"/>
  </r>
  <r>
    <n v="3254"/>
    <s v="Joaquim Barbosa"/>
    <x v="0"/>
    <d v="2024-03-20T00:00:00"/>
    <x v="0"/>
    <n v="15"/>
    <x v="1"/>
    <s v="Yes"/>
    <n v="30"/>
    <s v="Yes"/>
    <n v="20"/>
    <n v="20"/>
    <x v="8"/>
  </r>
  <r>
    <n v="3255"/>
    <s v="Lara Rocha"/>
    <x v="2"/>
    <d v="2024-03-21T00:00:00"/>
    <x v="1"/>
    <n v="10"/>
    <x v="0"/>
    <s v="No"/>
    <s v="-"/>
    <s v="Yes"/>
    <n v="20"/>
    <n v="10"/>
    <x v="2"/>
  </r>
  <r>
    <n v="3256"/>
    <s v="Matheus Silva"/>
    <x v="1"/>
    <d v="2024-03-22T00:00:00"/>
    <x v="0"/>
    <n v="5"/>
    <x v="2"/>
    <s v="No"/>
    <s v="-"/>
    <s v="No"/>
    <n v="0"/>
    <n v="0"/>
    <x v="1"/>
  </r>
  <r>
    <n v="3257"/>
    <s v="Nicole Costa"/>
    <x v="0"/>
    <d v="2024-03-23T00:00:00"/>
    <x v="1"/>
    <n v="15"/>
    <x v="0"/>
    <s v="Yes"/>
    <n v="30"/>
    <s v="Yes"/>
    <n v="20"/>
    <n v="5"/>
    <x v="0"/>
  </r>
  <r>
    <n v="3258"/>
    <s v="Otávio Mendonça"/>
    <x v="2"/>
    <d v="2024-03-24T00:00:00"/>
    <x v="0"/>
    <n v="10"/>
    <x v="1"/>
    <s v="No"/>
    <s v="-"/>
    <s v="Yes"/>
    <n v="20"/>
    <n v="15"/>
    <x v="7"/>
  </r>
  <r>
    <n v="3259"/>
    <s v="Paula Ferreira"/>
    <x v="1"/>
    <d v="2024-03-25T00:00:00"/>
    <x v="1"/>
    <n v="5"/>
    <x v="0"/>
    <s v="No"/>
    <s v="-"/>
    <s v="No"/>
    <n v="0"/>
    <n v="1"/>
    <x v="4"/>
  </r>
  <r>
    <n v="3260"/>
    <s v="Raquel Alves"/>
    <x v="0"/>
    <d v="2024-03-26T00:00:00"/>
    <x v="0"/>
    <n v="15"/>
    <x v="2"/>
    <s v="Yes"/>
    <n v="30"/>
    <s v="Yes"/>
    <n v="20"/>
    <n v="7"/>
    <x v="12"/>
  </r>
  <r>
    <n v="3261"/>
    <s v="Samuel Pires"/>
    <x v="2"/>
    <d v="2024-03-27T00:00:00"/>
    <x v="1"/>
    <n v="10"/>
    <x v="0"/>
    <s v="No"/>
    <s v="-"/>
    <s v="Yes"/>
    <n v="20"/>
    <n v="10"/>
    <x v="2"/>
  </r>
  <r>
    <n v="3262"/>
    <s v="Tânia Barros"/>
    <x v="1"/>
    <d v="2024-03-28T00:00:00"/>
    <x v="0"/>
    <n v="5"/>
    <x v="1"/>
    <s v="No"/>
    <s v="-"/>
    <s v="No"/>
    <n v="0"/>
    <n v="0"/>
    <x v="1"/>
  </r>
  <r>
    <n v="3263"/>
    <s v="Vinicius Lima"/>
    <x v="0"/>
    <d v="2024-03-29T00:00:00"/>
    <x v="1"/>
    <n v="15"/>
    <x v="0"/>
    <s v="Yes"/>
    <n v="30"/>
    <s v="Yes"/>
    <n v="20"/>
    <n v="3"/>
    <x v="3"/>
  </r>
  <r>
    <n v="3264"/>
    <s v="Yasmin Teixeira"/>
    <x v="2"/>
    <d v="2024-03-30T00:00:00"/>
    <x v="0"/>
    <n v="10"/>
    <x v="2"/>
    <s v="No"/>
    <s v="-"/>
    <s v="Yes"/>
    <n v="20"/>
    <n v="15"/>
    <x v="7"/>
  </r>
  <r>
    <n v="3265"/>
    <s v="Zé Carlos"/>
    <x v="1"/>
    <d v="2024-03-31T00:00:00"/>
    <x v="1"/>
    <n v="5"/>
    <x v="0"/>
    <s v="No"/>
    <s v="-"/>
    <s v="No"/>
    <n v="0"/>
    <n v="1"/>
    <x v="4"/>
  </r>
  <r>
    <n v="3266"/>
    <s v="Amanda Nogueira"/>
    <x v="1"/>
    <d v="2024-04-01T00:00:00"/>
    <x v="0"/>
    <n v="5"/>
    <x v="0"/>
    <s v="No"/>
    <s v="-"/>
    <s v="No"/>
    <n v="0"/>
    <n v="0"/>
    <x v="1"/>
  </r>
  <r>
    <n v="3267"/>
    <s v="Bruno Cavalheiro"/>
    <x v="0"/>
    <d v="2024-04-02T00:00:00"/>
    <x v="1"/>
    <n v="15"/>
    <x v="2"/>
    <s v="Yes"/>
    <n v="30"/>
    <s v="Yes"/>
    <n v="20"/>
    <n v="7"/>
    <x v="12"/>
  </r>
  <r>
    <n v="3268"/>
    <s v="Carla Dias"/>
    <x v="2"/>
    <d v="2024-04-03T00:00:00"/>
    <x v="0"/>
    <n v="10"/>
    <x v="1"/>
    <s v="No"/>
    <s v="-"/>
    <s v="Yes"/>
    <n v="20"/>
    <n v="10"/>
    <x v="2"/>
  </r>
  <r>
    <n v="3269"/>
    <s v="Diego Fontes"/>
    <x v="1"/>
    <d v="2024-04-04T00:00:00"/>
    <x v="1"/>
    <n v="5"/>
    <x v="2"/>
    <s v="No"/>
    <s v="-"/>
    <s v="No"/>
    <n v="0"/>
    <n v="1"/>
    <x v="4"/>
  </r>
  <r>
    <n v="3270"/>
    <s v="Eunice Lima"/>
    <x v="0"/>
    <d v="2024-04-05T00:00:00"/>
    <x v="0"/>
    <n v="15"/>
    <x v="0"/>
    <s v="Yes"/>
    <n v="30"/>
    <s v="Yes"/>
    <n v="20"/>
    <n v="15"/>
    <x v="14"/>
  </r>
  <r>
    <n v="3271"/>
    <s v="Fábio Martins"/>
    <x v="2"/>
    <d v="2024-04-06T00:00:00"/>
    <x v="1"/>
    <n v="10"/>
    <x v="0"/>
    <s v="No"/>
    <s v="-"/>
    <s v="Yes"/>
    <n v="20"/>
    <n v="5"/>
    <x v="13"/>
  </r>
  <r>
    <n v="3272"/>
    <s v="Gisele Araújo"/>
    <x v="1"/>
    <d v="2024-04-07T00:00:00"/>
    <x v="0"/>
    <n v="5"/>
    <x v="1"/>
    <s v="No"/>
    <s v="-"/>
    <s v="No"/>
    <n v="0"/>
    <n v="0"/>
    <x v="1"/>
  </r>
  <r>
    <n v="3273"/>
    <s v="Hélio Castro"/>
    <x v="0"/>
    <d v="2024-04-08T00:00:00"/>
    <x v="1"/>
    <n v="15"/>
    <x v="2"/>
    <s v="Yes"/>
    <n v="30"/>
    <s v="Yes"/>
    <n v="20"/>
    <n v="20"/>
    <x v="8"/>
  </r>
  <r>
    <n v="3274"/>
    <s v="Ingrid Menezes"/>
    <x v="2"/>
    <d v="2024-04-09T00:00:00"/>
    <x v="0"/>
    <n v="10"/>
    <x v="2"/>
    <s v="No"/>
    <s v="-"/>
    <s v="Yes"/>
    <n v="20"/>
    <n v="12"/>
    <x v="10"/>
  </r>
  <r>
    <n v="3275"/>
    <s v="Jorge Baptista"/>
    <x v="1"/>
    <d v="2024-04-10T00:00:00"/>
    <x v="1"/>
    <n v="5"/>
    <x v="0"/>
    <s v="No"/>
    <s v="-"/>
    <s v="No"/>
    <n v="0"/>
    <n v="2"/>
    <x v="11"/>
  </r>
  <r>
    <n v="3276"/>
    <s v="Kléber Oliveira"/>
    <x v="0"/>
    <d v="2024-04-11T00:00:00"/>
    <x v="0"/>
    <n v="15"/>
    <x v="1"/>
    <s v="Yes"/>
    <n v="30"/>
    <s v="Yes"/>
    <n v="20"/>
    <n v="5"/>
    <x v="0"/>
  </r>
  <r>
    <n v="3277"/>
    <s v="Luciana Freitas"/>
    <x v="2"/>
    <d v="2024-04-12T00:00:00"/>
    <x v="1"/>
    <n v="10"/>
    <x v="0"/>
    <s v="No"/>
    <s v="-"/>
    <s v="Yes"/>
    <n v="20"/>
    <n v="10"/>
    <x v="2"/>
  </r>
  <r>
    <n v="3278"/>
    <s v="Márcia Eller"/>
    <x v="1"/>
    <d v="2024-04-13T00:00:00"/>
    <x v="0"/>
    <n v="5"/>
    <x v="2"/>
    <s v="No"/>
    <s v="-"/>
    <s v="No"/>
    <n v="0"/>
    <n v="0"/>
    <x v="1"/>
  </r>
  <r>
    <n v="3279"/>
    <s v="Nilo Peçanha"/>
    <x v="0"/>
    <d v="2024-04-14T00:00:00"/>
    <x v="1"/>
    <n v="15"/>
    <x v="0"/>
    <s v="Yes"/>
    <n v="30"/>
    <s v="Yes"/>
    <n v="20"/>
    <n v="3"/>
    <x v="3"/>
  </r>
  <r>
    <n v="3280"/>
    <s v="Oscar Neves"/>
    <x v="2"/>
    <d v="2024-04-15T00:00:00"/>
    <x v="0"/>
    <n v="10"/>
    <x v="1"/>
    <s v="No"/>
    <s v="-"/>
    <s v="Yes"/>
    <n v="20"/>
    <n v="15"/>
    <x v="7"/>
  </r>
  <r>
    <n v="3281"/>
    <s v="Patrícia Soares"/>
    <x v="1"/>
    <d v="2024-04-16T00:00:00"/>
    <x v="1"/>
    <n v="5"/>
    <x v="0"/>
    <s v="No"/>
    <s v="-"/>
    <s v="No"/>
    <n v="0"/>
    <n v="1"/>
    <x v="4"/>
  </r>
  <r>
    <n v="3282"/>
    <s v="Quirino Gonçalves"/>
    <x v="0"/>
    <d v="2024-04-17T00:00:00"/>
    <x v="0"/>
    <n v="15"/>
    <x v="2"/>
    <s v="Yes"/>
    <n v="30"/>
    <s v="Yes"/>
    <n v="20"/>
    <n v="7"/>
    <x v="12"/>
  </r>
  <r>
    <n v="3283"/>
    <s v="Raul Machado"/>
    <x v="2"/>
    <d v="2024-04-18T00:00:00"/>
    <x v="1"/>
    <n v="10"/>
    <x v="0"/>
    <s v="No"/>
    <s v="-"/>
    <s v="Yes"/>
    <n v="20"/>
    <n v="10"/>
    <x v="2"/>
  </r>
  <r>
    <n v="3284"/>
    <s v="Sônia Lobo"/>
    <x v="1"/>
    <d v="2024-04-19T00:00:00"/>
    <x v="0"/>
    <n v="5"/>
    <x v="1"/>
    <s v="No"/>
    <s v="-"/>
    <s v="No"/>
    <n v="0"/>
    <n v="0"/>
    <x v="1"/>
  </r>
  <r>
    <n v="3285"/>
    <s v="Tiago Ramos"/>
    <x v="0"/>
    <d v="2024-04-20T00:00:00"/>
    <x v="1"/>
    <n v="15"/>
    <x v="0"/>
    <s v="Yes"/>
    <n v="30"/>
    <s v="Yes"/>
    <n v="20"/>
    <n v="20"/>
    <x v="8"/>
  </r>
  <r>
    <n v="3286"/>
    <s v="Ugo Pires"/>
    <x v="2"/>
    <d v="2024-04-21T00:00:00"/>
    <x v="0"/>
    <n v="10"/>
    <x v="2"/>
    <s v="No"/>
    <s v="-"/>
    <s v="Yes"/>
    <n v="20"/>
    <n v="15"/>
    <x v="7"/>
  </r>
  <r>
    <n v="3287"/>
    <s v="Valéria Nobre"/>
    <x v="1"/>
    <d v="2024-04-22T00:00:00"/>
    <x v="1"/>
    <n v="5"/>
    <x v="0"/>
    <s v="No"/>
    <s v="-"/>
    <s v="No"/>
    <n v="0"/>
    <n v="1"/>
    <x v="4"/>
  </r>
  <r>
    <n v="3288"/>
    <s v="William Siqueira"/>
    <x v="0"/>
    <d v="2024-04-23T00:00:00"/>
    <x v="0"/>
    <n v="15"/>
    <x v="1"/>
    <s v="Yes"/>
    <n v="30"/>
    <s v="Yes"/>
    <n v="20"/>
    <n v="3"/>
    <x v="3"/>
  </r>
  <r>
    <n v="3289"/>
    <s v="Xuxa Meneghel"/>
    <x v="2"/>
    <d v="2024-04-24T00:00:00"/>
    <x v="1"/>
    <n v="10"/>
    <x v="0"/>
    <s v="No"/>
    <s v="-"/>
    <s v="Yes"/>
    <n v="20"/>
    <n v="10"/>
    <x v="2"/>
  </r>
  <r>
    <n v="3290"/>
    <s v="Yara Figueiredo"/>
    <x v="1"/>
    <d v="2024-04-25T00:00:00"/>
    <x v="0"/>
    <n v="5"/>
    <x v="2"/>
    <s v="No"/>
    <s v="-"/>
    <s v="No"/>
    <n v="0"/>
    <n v="0"/>
    <x v="1"/>
  </r>
  <r>
    <n v="3291"/>
    <s v="Zacarias Alves"/>
    <x v="0"/>
    <d v="2024-04-26T00:00:00"/>
    <x v="1"/>
    <n v="15"/>
    <x v="0"/>
    <s v="Yes"/>
    <n v="30"/>
    <s v="Yes"/>
    <n v="20"/>
    <n v="5"/>
    <x v="0"/>
  </r>
  <r>
    <n v="3292"/>
    <s v="Amanda Bynes"/>
    <x v="2"/>
    <d v="2024-04-27T00:00:00"/>
    <x v="0"/>
    <n v="10"/>
    <x v="1"/>
    <s v="No"/>
    <s v="-"/>
    <s v="Yes"/>
    <n v="20"/>
    <n v="15"/>
    <x v="7"/>
  </r>
  <r>
    <n v="3293"/>
    <s v="Bruno Mars"/>
    <x v="1"/>
    <d v="2024-04-28T00:00:00"/>
    <x v="1"/>
    <n v="5"/>
    <x v="0"/>
    <s v="No"/>
    <s v="-"/>
    <s v="No"/>
    <n v="0"/>
    <n v="1"/>
    <x v="4"/>
  </r>
  <r>
    <n v="3294"/>
    <s v="Carla Bruni"/>
    <x v="0"/>
    <d v="2024-04-29T00:00:00"/>
    <x v="0"/>
    <n v="15"/>
    <x v="2"/>
    <s v="Yes"/>
    <n v="30"/>
    <s v="Yes"/>
    <n v="20"/>
    <n v="20"/>
    <x v="8"/>
  </r>
  <r>
    <n v="3295"/>
    <s v="Diego Maradona"/>
    <x v="2"/>
    <d v="2024-04-30T00:00:00"/>
    <x v="1"/>
    <n v="10"/>
    <x v="0"/>
    <s v="No"/>
    <s v="-"/>
    <s v="Yes"/>
    <n v="20"/>
    <n v="5"/>
    <x v="13"/>
  </r>
  <r>
    <n v="3296"/>
    <s v="Estela Marques"/>
    <x v="1"/>
    <d v="2024-05-01T00:00:00"/>
    <x v="1"/>
    <n v="5"/>
    <x v="0"/>
    <s v="No"/>
    <s v="-"/>
    <s v="No"/>
    <n v="0"/>
    <n v="0"/>
    <x v="1"/>
  </r>
  <r>
    <n v="3297"/>
    <s v="Fábio Nobre"/>
    <x v="0"/>
    <d v="2024-05-02T00:00:00"/>
    <x v="0"/>
    <n v="15"/>
    <x v="2"/>
    <s v="Yes"/>
    <n v="30"/>
    <s v="Yes"/>
    <n v="20"/>
    <n v="7"/>
    <x v="12"/>
  </r>
  <r>
    <n v="3298"/>
    <s v="Gabriel Oliveira"/>
    <x v="2"/>
    <d v="2024-05-03T00:00:00"/>
    <x v="1"/>
    <n v="10"/>
    <x v="1"/>
    <s v="No"/>
    <s v="-"/>
    <s v="Yes"/>
    <n v="20"/>
    <n v="10"/>
    <x v="2"/>
  </r>
  <r>
    <n v="3299"/>
    <s v="Helena Santos"/>
    <x v="1"/>
    <d v="2024-05-04T00:00:00"/>
    <x v="0"/>
    <n v="5"/>
    <x v="2"/>
    <s v="No"/>
    <s v="-"/>
    <s v="No"/>
    <n v="0"/>
    <n v="1"/>
    <x v="4"/>
  </r>
  <r>
    <n v="3300"/>
    <s v="Ivan Carvalho"/>
    <x v="0"/>
    <d v="2024-05-05T00:00:00"/>
    <x v="1"/>
    <n v="15"/>
    <x v="0"/>
    <s v="Yes"/>
    <n v="30"/>
    <s v="Yes"/>
    <n v="20"/>
    <n v="15"/>
    <x v="14"/>
  </r>
  <r>
    <n v="3301"/>
    <s v="Júlia Ferreira"/>
    <x v="2"/>
    <d v="2024-05-06T00:00:00"/>
    <x v="0"/>
    <n v="10"/>
    <x v="0"/>
    <s v="No"/>
    <s v="-"/>
    <s v="Yes"/>
    <n v="20"/>
    <n v="5"/>
    <x v="13"/>
  </r>
  <r>
    <n v="3302"/>
    <s v="Karla Alves"/>
    <x v="1"/>
    <d v="2024-05-07T00:00:00"/>
    <x v="1"/>
    <n v="5"/>
    <x v="1"/>
    <s v="No"/>
    <s v="-"/>
    <s v="No"/>
    <n v="0"/>
    <n v="0"/>
    <x v="1"/>
  </r>
  <r>
    <n v="3303"/>
    <s v="Lucas Mendes"/>
    <x v="0"/>
    <d v="2024-05-08T00:00:00"/>
    <x v="0"/>
    <n v="15"/>
    <x v="2"/>
    <s v="Yes"/>
    <n v="30"/>
    <s v="Yes"/>
    <n v="20"/>
    <n v="20"/>
    <x v="8"/>
  </r>
  <r>
    <n v="3304"/>
    <s v="Mônica Gomes"/>
    <x v="2"/>
    <d v="2024-05-09T00:00:00"/>
    <x v="1"/>
    <n v="10"/>
    <x v="2"/>
    <s v="No"/>
    <s v="-"/>
    <s v="Yes"/>
    <n v="20"/>
    <n v="12"/>
    <x v="10"/>
  </r>
  <r>
    <n v="3305"/>
    <s v="Norberto Queiroz"/>
    <x v="1"/>
    <d v="2024-05-10T00:00:00"/>
    <x v="0"/>
    <n v="5"/>
    <x v="0"/>
    <s v="No"/>
    <s v="-"/>
    <s v="No"/>
    <n v="0"/>
    <n v="2"/>
    <x v="11"/>
  </r>
  <r>
    <n v="3306"/>
    <s v="Otávio Barros"/>
    <x v="0"/>
    <d v="2024-05-11T00:00:00"/>
    <x v="1"/>
    <n v="15"/>
    <x v="1"/>
    <s v="Yes"/>
    <n v="30"/>
    <s v="Yes"/>
    <n v="20"/>
    <n v="5"/>
    <x v="0"/>
  </r>
  <r>
    <n v="3307"/>
    <s v="Paula Vieira"/>
    <x v="2"/>
    <d v="2024-05-12T00:00:00"/>
    <x v="0"/>
    <n v="10"/>
    <x v="0"/>
    <s v="No"/>
    <s v="-"/>
    <s v="Yes"/>
    <n v="20"/>
    <n v="10"/>
    <x v="2"/>
  </r>
  <r>
    <n v="3308"/>
    <s v="Quentin Ramos"/>
    <x v="1"/>
    <d v="2024-05-13T00:00:00"/>
    <x v="1"/>
    <n v="5"/>
    <x v="2"/>
    <s v="No"/>
    <s v="-"/>
    <s v="No"/>
    <n v="0"/>
    <n v="0"/>
    <x v="1"/>
  </r>
  <r>
    <n v="3309"/>
    <s v="Raquel Novaes"/>
    <x v="0"/>
    <d v="2024-05-14T00:00:00"/>
    <x v="0"/>
    <n v="15"/>
    <x v="0"/>
    <s v="Yes"/>
    <n v="30"/>
    <s v="Yes"/>
    <n v="20"/>
    <n v="3"/>
    <x v="3"/>
  </r>
  <r>
    <n v="3310"/>
    <s v="Samantha Lopes"/>
    <x v="2"/>
    <d v="2024-05-15T00:00:00"/>
    <x v="1"/>
    <n v="10"/>
    <x v="1"/>
    <s v="No"/>
    <s v="-"/>
    <s v="Yes"/>
    <n v="20"/>
    <n v="15"/>
    <x v="7"/>
  </r>
  <r>
    <n v="3311"/>
    <s v="Tiago Martins"/>
    <x v="1"/>
    <d v="2024-05-16T00:00:00"/>
    <x v="0"/>
    <n v="5"/>
    <x v="0"/>
    <s v="No"/>
    <s v="-"/>
    <s v="No"/>
    <n v="0"/>
    <n v="1"/>
    <x v="4"/>
  </r>
  <r>
    <n v="3312"/>
    <s v="Ulysses Guimarães"/>
    <x v="0"/>
    <d v="2024-05-17T00:00:00"/>
    <x v="1"/>
    <n v="15"/>
    <x v="2"/>
    <s v="Yes"/>
    <n v="30"/>
    <s v="Yes"/>
    <n v="20"/>
    <n v="7"/>
    <x v="12"/>
  </r>
  <r>
    <n v="3313"/>
    <s v="Vanessa Silva"/>
    <x v="2"/>
    <d v="2024-05-18T00:00:00"/>
    <x v="0"/>
    <n v="10"/>
    <x v="0"/>
    <s v="No"/>
    <s v="-"/>
    <s v="Yes"/>
    <n v="20"/>
    <n v="10"/>
    <x v="2"/>
  </r>
  <r>
    <n v="3314"/>
    <s v="William Carneiro"/>
    <x v="1"/>
    <d v="2024-05-19T00:00:00"/>
    <x v="1"/>
    <n v="5"/>
    <x v="1"/>
    <s v="No"/>
    <s v="-"/>
    <s v="No"/>
    <n v="0"/>
    <n v="0"/>
    <x v="1"/>
  </r>
  <r>
    <n v="3315"/>
    <s v="Ximena Rocha"/>
    <x v="0"/>
    <d v="2024-05-20T00:00:00"/>
    <x v="0"/>
    <n v="15"/>
    <x v="0"/>
    <s v="Yes"/>
    <n v="30"/>
    <s v="Yes"/>
    <n v="20"/>
    <n v="20"/>
    <x v="8"/>
  </r>
  <r>
    <n v="3316"/>
    <s v="Yasmin Figueiredo"/>
    <x v="2"/>
    <d v="2024-05-21T00:00:00"/>
    <x v="1"/>
    <n v="10"/>
    <x v="2"/>
    <s v="No"/>
    <s v="-"/>
    <s v="Yes"/>
    <n v="20"/>
    <n v="15"/>
    <x v="7"/>
  </r>
  <r>
    <n v="3317"/>
    <s v="Zara Cunha"/>
    <x v="1"/>
    <d v="2024-05-22T00:00:00"/>
    <x v="0"/>
    <n v="5"/>
    <x v="0"/>
    <s v="No"/>
    <s v="-"/>
    <s v="No"/>
    <n v="0"/>
    <n v="1"/>
    <x v="4"/>
  </r>
  <r>
    <n v="3318"/>
    <s v="Alan Teixeira"/>
    <x v="0"/>
    <d v="2024-05-23T00:00:00"/>
    <x v="1"/>
    <n v="15"/>
    <x v="1"/>
    <s v="Yes"/>
    <n v="30"/>
    <s v="Yes"/>
    <n v="20"/>
    <n v="3"/>
    <x v="3"/>
  </r>
  <r>
    <n v="3319"/>
    <s v="Bárbara Oliveira"/>
    <x v="2"/>
    <d v="2024-05-24T00:00:00"/>
    <x v="0"/>
    <n v="10"/>
    <x v="0"/>
    <s v="No"/>
    <s v="-"/>
    <s v="Yes"/>
    <n v="20"/>
    <n v="10"/>
    <x v="2"/>
  </r>
  <r>
    <n v="3320"/>
    <s v="Carlos Junqueira"/>
    <x v="1"/>
    <d v="2024-05-25T00:00:00"/>
    <x v="1"/>
    <n v="5"/>
    <x v="2"/>
    <s v="No"/>
    <s v="-"/>
    <s v="No"/>
    <n v="0"/>
    <n v="0"/>
    <x v="1"/>
  </r>
  <r>
    <n v="3321"/>
    <s v="Daniela Moura"/>
    <x v="0"/>
    <d v="2024-05-26T00:00:00"/>
    <x v="0"/>
    <n v="15"/>
    <x v="0"/>
    <s v="Yes"/>
    <n v="30"/>
    <s v="Yes"/>
    <n v="20"/>
    <n v="5"/>
    <x v="0"/>
  </r>
  <r>
    <n v="3322"/>
    <s v="Eduardo Lima"/>
    <x v="2"/>
    <d v="2024-05-27T00:00:00"/>
    <x v="1"/>
    <n v="10"/>
    <x v="1"/>
    <s v="No"/>
    <s v="-"/>
    <s v="Yes"/>
    <n v="20"/>
    <n v="15"/>
    <x v="7"/>
  </r>
  <r>
    <n v="3323"/>
    <s v="Fabiana Araújo"/>
    <x v="1"/>
    <d v="2024-05-28T00:00:00"/>
    <x v="0"/>
    <n v="5"/>
    <x v="0"/>
    <s v="No"/>
    <s v="-"/>
    <s v="No"/>
    <n v="0"/>
    <n v="1"/>
    <x v="4"/>
  </r>
  <r>
    <n v="3324"/>
    <s v="Geraldo Ribeiro"/>
    <x v="0"/>
    <d v="2024-05-29T00:00:00"/>
    <x v="1"/>
    <n v="15"/>
    <x v="2"/>
    <s v="Yes"/>
    <n v="30"/>
    <s v="Yes"/>
    <n v="20"/>
    <n v="20"/>
    <x v="8"/>
  </r>
  <r>
    <n v="3325"/>
    <s v="Héctor Vargas"/>
    <x v="2"/>
    <d v="2024-05-30T00:00:00"/>
    <x v="0"/>
    <n v="10"/>
    <x v="2"/>
    <s v="No"/>
    <s v="-"/>
    <s v="Yes"/>
    <n v="20"/>
    <n v="15"/>
    <x v="7"/>
  </r>
  <r>
    <n v="3326"/>
    <s v="Isabela Fonseca"/>
    <x v="1"/>
    <d v="2024-05-31T00:00:00"/>
    <x v="1"/>
    <n v="5"/>
    <x v="1"/>
    <s v="No"/>
    <s v="-"/>
    <s v="No"/>
    <n v="0"/>
    <n v="0"/>
    <x v="1"/>
  </r>
  <r>
    <n v="3327"/>
    <s v="João Pedro Almeida"/>
    <x v="0"/>
    <d v="2024-06-01T00:00:00"/>
    <x v="0"/>
    <n v="15"/>
    <x v="0"/>
    <s v="Yes"/>
    <n v="30"/>
    <s v="Yes"/>
    <n v="20"/>
    <n v="7"/>
    <x v="12"/>
  </r>
  <r>
    <n v="3328"/>
    <s v="Klara Costa"/>
    <x v="2"/>
    <d v="2024-06-02T00:00:00"/>
    <x v="1"/>
    <n v="10"/>
    <x v="1"/>
    <s v="No"/>
    <s v="-"/>
    <s v="Yes"/>
    <n v="20"/>
    <n v="10"/>
    <x v="2"/>
  </r>
  <r>
    <n v="3329"/>
    <s v="Luciana Mendes"/>
    <x v="1"/>
    <d v="2024-06-03T00:00:00"/>
    <x v="0"/>
    <n v="5"/>
    <x v="2"/>
    <s v="No"/>
    <s v="-"/>
    <s v="No"/>
    <n v="0"/>
    <n v="1"/>
    <x v="4"/>
  </r>
  <r>
    <n v="3330"/>
    <s v="Marcelo Gouveia"/>
    <x v="0"/>
    <d v="2024-06-04T00:00:00"/>
    <x v="1"/>
    <n v="15"/>
    <x v="0"/>
    <s v="Yes"/>
    <n v="30"/>
    <s v="Yes"/>
    <n v="20"/>
    <n v="15"/>
    <x v="14"/>
  </r>
  <r>
    <n v="3331"/>
    <s v="Nívea Borges"/>
    <x v="2"/>
    <d v="2024-06-05T00:00:00"/>
    <x v="0"/>
    <n v="10"/>
    <x v="0"/>
    <s v="No"/>
    <s v="-"/>
    <s v="Yes"/>
    <n v="20"/>
    <n v="5"/>
    <x v="13"/>
  </r>
  <r>
    <n v="3332"/>
    <s v="Oscar Nogueira"/>
    <x v="1"/>
    <d v="2024-06-06T00:00:00"/>
    <x v="1"/>
    <n v="5"/>
    <x v="1"/>
    <s v="No"/>
    <s v="-"/>
    <s v="No"/>
    <n v="0"/>
    <n v="0"/>
    <x v="1"/>
  </r>
  <r>
    <n v="3333"/>
    <s v="Patrícia Alves"/>
    <x v="0"/>
    <d v="2024-06-07T00:00:00"/>
    <x v="0"/>
    <n v="15"/>
    <x v="2"/>
    <s v="Yes"/>
    <n v="30"/>
    <s v="Yes"/>
    <n v="20"/>
    <n v="20"/>
    <x v="8"/>
  </r>
  <r>
    <n v="3334"/>
    <s v="Rafaela Silva"/>
    <x v="2"/>
    <d v="2024-06-08T00:00:00"/>
    <x v="1"/>
    <n v="10"/>
    <x v="2"/>
    <s v="No"/>
    <s v="-"/>
    <s v="Yes"/>
    <n v="20"/>
    <n v="12"/>
    <x v="10"/>
  </r>
  <r>
    <n v="3335"/>
    <s v="Samantha Moraes"/>
    <x v="1"/>
    <d v="2024-06-09T00:00:00"/>
    <x v="0"/>
    <n v="5"/>
    <x v="0"/>
    <s v="No"/>
    <s v="-"/>
    <s v="No"/>
    <n v="0"/>
    <n v="2"/>
    <x v="11"/>
  </r>
  <r>
    <n v="3336"/>
    <s v="Tatiana Rocha"/>
    <x v="1"/>
    <d v="2024-06-10T00:00:00"/>
    <x v="0"/>
    <n v="5"/>
    <x v="0"/>
    <s v="No"/>
    <s v="-"/>
    <s v="No"/>
    <n v="0"/>
    <n v="0"/>
    <x v="1"/>
  </r>
  <r>
    <n v="3337"/>
    <s v="Ulisses Tavares"/>
    <x v="0"/>
    <d v="2024-06-11T00:00:00"/>
    <x v="1"/>
    <n v="15"/>
    <x v="2"/>
    <s v="Yes"/>
    <n v="30"/>
    <s v="Yes"/>
    <n v="20"/>
    <n v="7"/>
    <x v="12"/>
  </r>
  <r>
    <n v="3338"/>
    <s v="Víctor Lemos"/>
    <x v="2"/>
    <d v="2024-06-12T00:00:00"/>
    <x v="0"/>
    <n v="10"/>
    <x v="1"/>
    <s v="No"/>
    <s v="-"/>
    <s v="Yes"/>
    <n v="20"/>
    <n v="10"/>
    <x v="2"/>
  </r>
  <r>
    <n v="3339"/>
    <s v="Wilma Barros"/>
    <x v="1"/>
    <d v="2024-06-13T00:00:00"/>
    <x v="1"/>
    <n v="5"/>
    <x v="2"/>
    <s v="No"/>
    <s v="-"/>
    <s v="No"/>
    <n v="0"/>
    <n v="1"/>
    <x v="4"/>
  </r>
  <r>
    <n v="3340"/>
    <s v="Xavier Nascimento"/>
    <x v="0"/>
    <d v="2024-06-14T00:00:00"/>
    <x v="0"/>
    <n v="15"/>
    <x v="0"/>
    <s v="Yes"/>
    <n v="30"/>
    <s v="Yes"/>
    <n v="20"/>
    <n v="15"/>
    <x v="14"/>
  </r>
  <r>
    <n v="3341"/>
    <s v="Yago Pereira"/>
    <x v="2"/>
    <d v="2024-06-15T00:00:00"/>
    <x v="1"/>
    <n v="10"/>
    <x v="0"/>
    <s v="No"/>
    <s v="-"/>
    <s v="Yes"/>
    <n v="20"/>
    <n v="5"/>
    <x v="13"/>
  </r>
  <r>
    <n v="3342"/>
    <s v="Zilda Ferreira"/>
    <x v="1"/>
    <d v="2024-06-16T00:00:00"/>
    <x v="0"/>
    <n v="5"/>
    <x v="1"/>
    <s v="No"/>
    <s v="-"/>
    <s v="No"/>
    <n v="0"/>
    <n v="0"/>
    <x v="1"/>
  </r>
  <r>
    <n v="3343"/>
    <s v="Amanda Lopes"/>
    <x v="0"/>
    <d v="2024-06-17T00:00:00"/>
    <x v="1"/>
    <n v="15"/>
    <x v="2"/>
    <s v="Yes"/>
    <n v="30"/>
    <s v="Yes"/>
    <n v="20"/>
    <n v="20"/>
    <x v="8"/>
  </r>
  <r>
    <n v="3344"/>
    <s v="Bruno Miranda"/>
    <x v="2"/>
    <d v="2024-06-18T00:00:00"/>
    <x v="0"/>
    <n v="10"/>
    <x v="2"/>
    <s v="No"/>
    <s v="-"/>
    <s v="Yes"/>
    <n v="20"/>
    <n v="12"/>
    <x v="10"/>
  </r>
  <r>
    <n v="3345"/>
    <s v="Célia Torres"/>
    <x v="1"/>
    <d v="2024-06-19T00:00:00"/>
    <x v="1"/>
    <n v="5"/>
    <x v="0"/>
    <s v="No"/>
    <s v="-"/>
    <s v="No"/>
    <n v="0"/>
    <n v="2"/>
    <x v="11"/>
  </r>
  <r>
    <n v="3346"/>
    <s v="Diogo Souza"/>
    <x v="0"/>
    <d v="2024-06-20T00:00:00"/>
    <x v="0"/>
    <n v="15"/>
    <x v="1"/>
    <s v="Yes"/>
    <n v="30"/>
    <s v="Yes"/>
    <n v="20"/>
    <n v="5"/>
    <x v="0"/>
  </r>
  <r>
    <n v="3347"/>
    <s v="Elisa Castro"/>
    <x v="2"/>
    <d v="2024-06-21T00:00:00"/>
    <x v="1"/>
    <n v="10"/>
    <x v="0"/>
    <s v="No"/>
    <s v="-"/>
    <s v="Yes"/>
    <n v="20"/>
    <n v="10"/>
    <x v="2"/>
  </r>
  <r>
    <n v="3348"/>
    <s v="Fátima Lima"/>
    <x v="1"/>
    <d v="2024-06-22T00:00:00"/>
    <x v="0"/>
    <n v="5"/>
    <x v="2"/>
    <s v="No"/>
    <s v="-"/>
    <s v="No"/>
    <n v="0"/>
    <n v="0"/>
    <x v="1"/>
  </r>
  <r>
    <n v="3349"/>
    <s v="Geraldo Ribeiro"/>
    <x v="0"/>
    <d v="2024-06-23T00:00:00"/>
    <x v="1"/>
    <n v="15"/>
    <x v="0"/>
    <s v="Yes"/>
    <n v="30"/>
    <s v="Yes"/>
    <n v="20"/>
    <n v="3"/>
    <x v="3"/>
  </r>
  <r>
    <n v="3350"/>
    <s v="Hélio Martins"/>
    <x v="2"/>
    <d v="2024-06-24T00:00:00"/>
    <x v="0"/>
    <n v="10"/>
    <x v="1"/>
    <s v="No"/>
    <s v="-"/>
    <s v="Yes"/>
    <n v="20"/>
    <n v="15"/>
    <x v="7"/>
  </r>
  <r>
    <n v="3351"/>
    <s v="Íris Santos"/>
    <x v="1"/>
    <d v="2024-06-25T00:00:00"/>
    <x v="1"/>
    <n v="5"/>
    <x v="0"/>
    <s v="No"/>
    <s v="-"/>
    <s v="No"/>
    <n v="0"/>
    <n v="1"/>
    <x v="4"/>
  </r>
  <r>
    <n v="3352"/>
    <s v="João Marcelo"/>
    <x v="0"/>
    <d v="2024-06-26T00:00:00"/>
    <x v="0"/>
    <n v="15"/>
    <x v="2"/>
    <s v="Yes"/>
    <n v="30"/>
    <s v="Yes"/>
    <n v="20"/>
    <n v="7"/>
    <x v="12"/>
  </r>
  <r>
    <n v="3353"/>
    <s v="Larissa Gomes"/>
    <x v="2"/>
    <d v="2024-06-27T00:00:00"/>
    <x v="1"/>
    <n v="10"/>
    <x v="0"/>
    <s v="No"/>
    <s v="-"/>
    <s v="Yes"/>
    <n v="20"/>
    <n v="10"/>
    <x v="2"/>
  </r>
  <r>
    <n v="3354"/>
    <s v="Márcio Silva"/>
    <x v="1"/>
    <d v="2024-06-28T00:00:00"/>
    <x v="0"/>
    <n v="5"/>
    <x v="1"/>
    <s v="No"/>
    <s v="-"/>
    <s v="No"/>
    <n v="0"/>
    <n v="0"/>
    <x v="1"/>
  </r>
  <r>
    <n v="3355"/>
    <s v="Nadia Costa"/>
    <x v="0"/>
    <d v="2024-06-29T00:00:00"/>
    <x v="1"/>
    <n v="15"/>
    <x v="0"/>
    <s v="Yes"/>
    <n v="30"/>
    <s v="Yes"/>
    <n v="20"/>
    <n v="20"/>
    <x v="8"/>
  </r>
  <r>
    <n v="3356"/>
    <s v="Oscar Almeida"/>
    <x v="2"/>
    <d v="2024-06-30T00:00:00"/>
    <x v="0"/>
    <n v="10"/>
    <x v="2"/>
    <s v="No"/>
    <s v="-"/>
    <s v="Yes"/>
    <n v="20"/>
    <n v="15"/>
    <x v="7"/>
  </r>
  <r>
    <n v="3357"/>
    <s v="Patricia Soares"/>
    <x v="1"/>
    <d v="2024-07-01T00:00:00"/>
    <x v="1"/>
    <n v="5"/>
    <x v="0"/>
    <s v="No"/>
    <s v="-"/>
    <s v="No"/>
    <n v="0"/>
    <n v="1"/>
    <x v="4"/>
  </r>
  <r>
    <n v="3358"/>
    <s v="Quênia Barros"/>
    <x v="0"/>
    <d v="2024-07-02T00:00:00"/>
    <x v="0"/>
    <n v="15"/>
    <x v="1"/>
    <s v="Yes"/>
    <n v="30"/>
    <s v="Yes"/>
    <n v="20"/>
    <n v="3"/>
    <x v="3"/>
  </r>
  <r>
    <n v="3359"/>
    <s v="Rafael Torres"/>
    <x v="2"/>
    <d v="2024-07-03T00:00:00"/>
    <x v="1"/>
    <n v="10"/>
    <x v="0"/>
    <s v="No"/>
    <s v="-"/>
    <s v="Yes"/>
    <n v="20"/>
    <n v="10"/>
    <x v="2"/>
  </r>
  <r>
    <n v="3360"/>
    <s v="Silvia Nascimento"/>
    <x v="1"/>
    <d v="2024-07-04T00:00:00"/>
    <x v="0"/>
    <n v="5"/>
    <x v="2"/>
    <s v="No"/>
    <s v="-"/>
    <s v="No"/>
    <n v="0"/>
    <n v="0"/>
    <x v="1"/>
  </r>
  <r>
    <n v="3361"/>
    <s v="Tiago Mendes"/>
    <x v="0"/>
    <d v="2024-07-05T00:00:00"/>
    <x v="1"/>
    <n v="15"/>
    <x v="0"/>
    <s v="Yes"/>
    <n v="30"/>
    <s v="Yes"/>
    <n v="20"/>
    <n v="15"/>
    <x v="14"/>
  </r>
  <r>
    <n v="3362"/>
    <s v="Ursula Silva"/>
    <x v="2"/>
    <d v="2024-07-06T00:00:00"/>
    <x v="0"/>
    <n v="10"/>
    <x v="1"/>
    <s v="No"/>
    <s v="-"/>
    <s v="Yes"/>
    <n v="20"/>
    <n v="15"/>
    <x v="7"/>
  </r>
  <r>
    <n v="3363"/>
    <s v="Vanessa Moraes"/>
    <x v="1"/>
    <d v="2024-07-07T00:00:00"/>
    <x v="1"/>
    <n v="5"/>
    <x v="0"/>
    <s v="No"/>
    <s v="-"/>
    <s v="No"/>
    <n v="0"/>
    <n v="1"/>
    <x v="4"/>
  </r>
  <r>
    <n v="3364"/>
    <s v="Waldir Junior"/>
    <x v="0"/>
    <d v="2024-07-08T00:00:00"/>
    <x v="0"/>
    <n v="15"/>
    <x v="2"/>
    <s v="Yes"/>
    <n v="30"/>
    <s v="Yes"/>
    <n v="20"/>
    <n v="7"/>
    <x v="12"/>
  </r>
  <r>
    <n v="3365"/>
    <s v="Xavier Lopes"/>
    <x v="2"/>
    <d v="2024-07-09T00:00:00"/>
    <x v="1"/>
    <n v="10"/>
    <x v="0"/>
    <s v="No"/>
    <s v="-"/>
    <s v="Yes"/>
    <n v="20"/>
    <n v="10"/>
    <x v="2"/>
  </r>
  <r>
    <n v="3366"/>
    <s v="Yolanda Freitas"/>
    <x v="1"/>
    <d v="2024-07-10T00:00:00"/>
    <x v="0"/>
    <n v="5"/>
    <x v="0"/>
    <s v="No"/>
    <s v="-"/>
    <s v="No"/>
    <n v="0"/>
    <n v="0"/>
    <x v="1"/>
  </r>
  <r>
    <n v="3367"/>
    <s v="Zacarias Nunes"/>
    <x v="0"/>
    <d v="2024-07-11T00:00:00"/>
    <x v="1"/>
    <n v="15"/>
    <x v="2"/>
    <s v="Yes"/>
    <n v="30"/>
    <s v="Yes"/>
    <n v="20"/>
    <n v="7"/>
    <x v="12"/>
  </r>
  <r>
    <n v="3368"/>
    <s v="Ana Clara Barreto"/>
    <x v="2"/>
    <d v="2024-07-12T00:00:00"/>
    <x v="0"/>
    <n v="10"/>
    <x v="1"/>
    <s v="No"/>
    <s v="-"/>
    <s v="Yes"/>
    <n v="20"/>
    <n v="10"/>
    <x v="2"/>
  </r>
  <r>
    <n v="3369"/>
    <s v="Bruno Henrique"/>
    <x v="1"/>
    <d v="2024-07-13T00:00:00"/>
    <x v="1"/>
    <n v="5"/>
    <x v="2"/>
    <s v="No"/>
    <s v="-"/>
    <s v="No"/>
    <n v="0"/>
    <n v="1"/>
    <x v="4"/>
  </r>
  <r>
    <n v="3370"/>
    <s v="Carlos Eduardo"/>
    <x v="0"/>
    <d v="2024-07-14T00:00:00"/>
    <x v="0"/>
    <n v="15"/>
    <x v="0"/>
    <s v="Yes"/>
    <n v="30"/>
    <s v="Yes"/>
    <n v="20"/>
    <n v="15"/>
    <x v="14"/>
  </r>
  <r>
    <n v="3371"/>
    <s v="Débora Lima"/>
    <x v="2"/>
    <d v="2024-07-15T00:00:00"/>
    <x v="1"/>
    <n v="10"/>
    <x v="0"/>
    <s v="No"/>
    <s v="-"/>
    <s v="Yes"/>
    <n v="20"/>
    <n v="5"/>
    <x v="13"/>
  </r>
  <r>
    <n v="3372"/>
    <s v="Elisa Neves"/>
    <x v="1"/>
    <d v="2024-07-16T00:00:00"/>
    <x v="0"/>
    <n v="5"/>
    <x v="1"/>
    <s v="No"/>
    <s v="-"/>
    <s v="No"/>
    <n v="0"/>
    <n v="0"/>
    <x v="1"/>
  </r>
  <r>
    <n v="3373"/>
    <s v="Fabiano Gomes"/>
    <x v="0"/>
    <d v="2024-07-17T00:00:00"/>
    <x v="1"/>
    <n v="15"/>
    <x v="2"/>
    <s v="Yes"/>
    <n v="30"/>
    <s v="Yes"/>
    <n v="20"/>
    <n v="20"/>
    <x v="8"/>
  </r>
  <r>
    <n v="3374"/>
    <s v="Gisele Oliveira"/>
    <x v="2"/>
    <d v="2024-07-18T00:00:00"/>
    <x v="0"/>
    <n v="10"/>
    <x v="2"/>
    <s v="No"/>
    <s v="-"/>
    <s v="Yes"/>
    <n v="20"/>
    <n v="12"/>
    <x v="10"/>
  </r>
  <r>
    <n v="3375"/>
    <s v="Héctor Silva"/>
    <x v="1"/>
    <d v="2024-07-19T00:00:00"/>
    <x v="1"/>
    <n v="5"/>
    <x v="0"/>
    <s v="No"/>
    <s v="-"/>
    <s v="No"/>
    <n v="0"/>
    <n v="2"/>
    <x v="11"/>
  </r>
  <r>
    <n v="3376"/>
    <s v="Igor Martins"/>
    <x v="0"/>
    <d v="2024-07-20T00:00:00"/>
    <x v="0"/>
    <n v="15"/>
    <x v="1"/>
    <s v="Yes"/>
    <n v="30"/>
    <s v="Yes"/>
    <n v="20"/>
    <n v="5"/>
    <x v="0"/>
  </r>
  <r>
    <n v="3377"/>
    <s v="Joana Figueiredo"/>
    <x v="2"/>
    <d v="2024-07-21T00:00:00"/>
    <x v="1"/>
    <n v="10"/>
    <x v="0"/>
    <s v="No"/>
    <s v="-"/>
    <s v="Yes"/>
    <n v="20"/>
    <n v="10"/>
    <x v="2"/>
  </r>
  <r>
    <n v="3378"/>
    <s v="Kleber Machado"/>
    <x v="1"/>
    <d v="2024-07-22T00:00:00"/>
    <x v="0"/>
    <n v="5"/>
    <x v="2"/>
    <s v="No"/>
    <s v="-"/>
    <s v="No"/>
    <n v="0"/>
    <n v="0"/>
    <x v="1"/>
  </r>
  <r>
    <n v="3379"/>
    <s v="Luciana Santos"/>
    <x v="0"/>
    <d v="2024-07-23T00:00:00"/>
    <x v="1"/>
    <n v="15"/>
    <x v="0"/>
    <s v="Yes"/>
    <n v="30"/>
    <s v="Yes"/>
    <n v="20"/>
    <n v="3"/>
    <x v="3"/>
  </r>
  <r>
    <n v="3380"/>
    <s v="Marcos Teixeira"/>
    <x v="2"/>
    <d v="2024-07-24T00:00:00"/>
    <x v="0"/>
    <n v="10"/>
    <x v="1"/>
    <s v="No"/>
    <s v="-"/>
    <s v="Yes"/>
    <n v="20"/>
    <n v="15"/>
    <x v="7"/>
  </r>
  <r>
    <n v="3381"/>
    <s v="Natalia Costa"/>
    <x v="1"/>
    <d v="2024-07-25T00:00:00"/>
    <x v="1"/>
    <n v="5"/>
    <x v="0"/>
    <s v="No"/>
    <s v="-"/>
    <s v="No"/>
    <n v="0"/>
    <n v="1"/>
    <x v="4"/>
  </r>
  <r>
    <n v="3382"/>
    <s v="Oscar Ribeiro"/>
    <x v="0"/>
    <d v="2024-07-26T00:00:00"/>
    <x v="0"/>
    <n v="15"/>
    <x v="2"/>
    <s v="Yes"/>
    <n v="30"/>
    <s v="Yes"/>
    <n v="20"/>
    <n v="7"/>
    <x v="12"/>
  </r>
  <r>
    <n v="3383"/>
    <s v="Patricia Almeida"/>
    <x v="2"/>
    <d v="2024-07-27T00:00:00"/>
    <x v="1"/>
    <n v="10"/>
    <x v="0"/>
    <s v="No"/>
    <s v="-"/>
    <s v="Yes"/>
    <n v="20"/>
    <n v="10"/>
    <x v="2"/>
  </r>
  <r>
    <n v="3384"/>
    <s v="Quirino Junior"/>
    <x v="1"/>
    <d v="2024-07-28T00:00:00"/>
    <x v="0"/>
    <n v="5"/>
    <x v="1"/>
    <s v="No"/>
    <s v="-"/>
    <s v="No"/>
    <n v="0"/>
    <n v="0"/>
    <x v="1"/>
  </r>
  <r>
    <n v="3385"/>
    <s v="Renata Machado"/>
    <x v="0"/>
    <d v="2024-07-29T00:00:00"/>
    <x v="1"/>
    <n v="15"/>
    <x v="0"/>
    <s v="Yes"/>
    <n v="30"/>
    <s v="Yes"/>
    <n v="20"/>
    <n v="20"/>
    <x v="8"/>
  </r>
  <r>
    <n v="3386"/>
    <s v="Sônia Alves"/>
    <x v="2"/>
    <d v="2024-07-30T00:00:00"/>
    <x v="0"/>
    <n v="10"/>
    <x v="2"/>
    <s v="No"/>
    <s v="-"/>
    <s v="Yes"/>
    <n v="20"/>
    <n v="15"/>
    <x v="7"/>
  </r>
  <r>
    <n v="3387"/>
    <s v="Tiago Nunes"/>
    <x v="1"/>
    <d v="2024-07-31T00:00:00"/>
    <x v="1"/>
    <n v="5"/>
    <x v="0"/>
    <s v="No"/>
    <s v="-"/>
    <s v="No"/>
    <n v="0"/>
    <n v="1"/>
    <x v="4"/>
  </r>
  <r>
    <n v="3388"/>
    <s v="Ulysses Pereira"/>
    <x v="0"/>
    <d v="2024-08-01T00:00:00"/>
    <x v="0"/>
    <n v="15"/>
    <x v="1"/>
    <s v="Yes"/>
    <n v="30"/>
    <s v="Yes"/>
    <n v="20"/>
    <n v="3"/>
    <x v="3"/>
  </r>
  <r>
    <n v="3389"/>
    <s v="Vanessa Lima"/>
    <x v="2"/>
    <d v="2024-08-02T00:00:00"/>
    <x v="1"/>
    <n v="10"/>
    <x v="0"/>
    <s v="No"/>
    <s v="-"/>
    <s v="Yes"/>
    <n v="20"/>
    <n v="10"/>
    <x v="2"/>
  </r>
  <r>
    <n v="3390"/>
    <s v="Wagner Santos"/>
    <x v="1"/>
    <d v="2024-08-03T00:00:00"/>
    <x v="0"/>
    <n v="5"/>
    <x v="2"/>
    <s v="No"/>
    <s v="-"/>
    <s v="No"/>
    <n v="0"/>
    <n v="0"/>
    <x v="1"/>
  </r>
  <r>
    <n v="3391"/>
    <s v="Xuxa Meneghel"/>
    <x v="0"/>
    <d v="2024-08-04T00:00:00"/>
    <x v="1"/>
    <n v="15"/>
    <x v="0"/>
    <s v="Yes"/>
    <n v="30"/>
    <s v="Yes"/>
    <n v="20"/>
    <n v="15"/>
    <x v="14"/>
  </r>
  <r>
    <n v="3392"/>
    <s v="Yasmin Silva"/>
    <x v="2"/>
    <d v="2024-08-05T00:00:00"/>
    <x v="0"/>
    <n v="10"/>
    <x v="1"/>
    <s v="No"/>
    <s v="-"/>
    <s v="Yes"/>
    <n v="20"/>
    <n v="15"/>
    <x v="7"/>
  </r>
  <r>
    <n v="3393"/>
    <s v="Zacarias de Souza"/>
    <x v="1"/>
    <d v="2024-08-06T00:00:00"/>
    <x v="1"/>
    <n v="5"/>
    <x v="0"/>
    <s v="No"/>
    <s v="-"/>
    <s v="No"/>
    <n v="0"/>
    <n v="1"/>
    <x v="4"/>
  </r>
  <r>
    <n v="3394"/>
    <s v="André Lima"/>
    <x v="0"/>
    <d v="2024-08-07T00:00:00"/>
    <x v="0"/>
    <n v="15"/>
    <x v="2"/>
    <s v="Yes"/>
    <n v="30"/>
    <s v="Yes"/>
    <n v="20"/>
    <n v="7"/>
    <x v="12"/>
  </r>
  <r>
    <n v="3395"/>
    <s v="Bianca Freitas"/>
    <x v="2"/>
    <d v="2024-08-08T00:00:00"/>
    <x v="1"/>
    <n v="10"/>
    <x v="0"/>
    <s v="No"/>
    <s v="-"/>
    <s v="Yes"/>
    <n v="20"/>
    <n v="10"/>
    <x v="2"/>
  </r>
  <r>
    <n v="3396"/>
    <s v="Caio Mendes"/>
    <x v="1"/>
    <d v="2024-08-09T00:00:00"/>
    <x v="0"/>
    <n v="5"/>
    <x v="1"/>
    <s v="No"/>
    <s v="-"/>
    <s v="No"/>
    <n v="0"/>
    <n v="0"/>
    <x v="1"/>
  </r>
  <r>
    <n v="3397"/>
    <s v="Daniela Moura"/>
    <x v="0"/>
    <d v="2024-08-10T00:00:00"/>
    <x v="1"/>
    <n v="15"/>
    <x v="0"/>
    <s v="Yes"/>
    <n v="30"/>
    <s v="Yes"/>
    <n v="20"/>
    <n v="20"/>
    <x v="8"/>
  </r>
  <r>
    <n v="3398"/>
    <s v="Eduardo Costa"/>
    <x v="2"/>
    <d v="2024-08-11T00:00:00"/>
    <x v="0"/>
    <n v="10"/>
    <x v="2"/>
    <s v="No"/>
    <s v="-"/>
    <s v="Yes"/>
    <n v="20"/>
    <n v="15"/>
    <x v="7"/>
  </r>
  <r>
    <n v="3399"/>
    <s v="Fernanda Gomes"/>
    <x v="1"/>
    <d v="2024-08-12T00:00:00"/>
    <x v="1"/>
    <n v="5"/>
    <x v="0"/>
    <s v="No"/>
    <s v="-"/>
    <s v="No"/>
    <n v="0"/>
    <n v="1"/>
    <x v="4"/>
  </r>
  <r>
    <n v="3400"/>
    <s v="Guilherme Souza"/>
    <x v="0"/>
    <d v="2024-08-13T00:00:00"/>
    <x v="0"/>
    <n v="15"/>
    <x v="1"/>
    <s v="Yes"/>
    <n v="30"/>
    <s v="Yes"/>
    <n v="20"/>
    <n v="5"/>
    <x v="0"/>
  </r>
  <r>
    <n v="3401"/>
    <s v="Helena Ribeiro"/>
    <x v="2"/>
    <d v="2024-08-14T00:00:00"/>
    <x v="1"/>
    <n v="10"/>
    <x v="0"/>
    <s v="No"/>
    <s v="-"/>
    <s v="Yes"/>
    <n v="20"/>
    <n v="10"/>
    <x v="2"/>
  </r>
  <r>
    <n v="3402"/>
    <s v="Igor Santos"/>
    <x v="1"/>
    <d v="2024-08-15T00:00:00"/>
    <x v="0"/>
    <n v="5"/>
    <x v="2"/>
    <s v="No"/>
    <s v="-"/>
    <s v="No"/>
    <n v="0"/>
    <n v="0"/>
    <x v="1"/>
  </r>
  <r>
    <n v="3403"/>
    <s v="João Carvalho"/>
    <x v="0"/>
    <d v="2024-08-16T00:00:00"/>
    <x v="1"/>
    <n v="15"/>
    <x v="0"/>
    <s v="Yes"/>
    <n v="30"/>
    <s v="Yes"/>
    <n v="20"/>
    <n v="3"/>
    <x v="3"/>
  </r>
  <r>
    <n v="3404"/>
    <s v="Klara Fagundes"/>
    <x v="2"/>
    <d v="2024-08-17T00:00:00"/>
    <x v="0"/>
    <n v="10"/>
    <x v="1"/>
    <s v="No"/>
    <s v="-"/>
    <s v="Yes"/>
    <n v="20"/>
    <n v="15"/>
    <x v="7"/>
  </r>
  <r>
    <n v="3405"/>
    <s v="Lúcia Mendonça"/>
    <x v="1"/>
    <d v="2024-08-18T00:00:00"/>
    <x v="1"/>
    <n v="5"/>
    <x v="0"/>
    <s v="No"/>
    <s v="-"/>
    <s v="No"/>
    <n v="0"/>
    <n v="1"/>
    <x v="4"/>
  </r>
  <r>
    <n v="3406"/>
    <s v="Marcelo Novaes"/>
    <x v="1"/>
    <d v="2024-08-19T00:00:00"/>
    <x v="0"/>
    <n v="5"/>
    <x v="0"/>
    <s v="No"/>
    <s v="-"/>
    <s v="No"/>
    <n v="0"/>
    <n v="0"/>
    <x v="1"/>
  </r>
  <r>
    <n v="3407"/>
    <s v="Nina Pacheco"/>
    <x v="0"/>
    <d v="2024-08-20T00:00:00"/>
    <x v="1"/>
    <n v="15"/>
    <x v="2"/>
    <s v="Yes"/>
    <n v="30"/>
    <s v="Yes"/>
    <n v="20"/>
    <n v="7"/>
    <x v="12"/>
  </r>
  <r>
    <n v="3408"/>
    <s v="Olívia Rios"/>
    <x v="2"/>
    <d v="2024-08-21T00:00:00"/>
    <x v="0"/>
    <n v="10"/>
    <x v="1"/>
    <s v="No"/>
    <s v="-"/>
    <s v="Yes"/>
    <n v="20"/>
    <n v="10"/>
    <x v="2"/>
  </r>
  <r>
    <n v="3409"/>
    <s v="Paulo Quintana"/>
    <x v="1"/>
    <d v="2024-08-22T00:00:00"/>
    <x v="1"/>
    <n v="5"/>
    <x v="2"/>
    <s v="No"/>
    <s v="-"/>
    <s v="No"/>
    <n v="0"/>
    <n v="1"/>
    <x v="4"/>
  </r>
  <r>
    <n v="3410"/>
    <s v="Raquel Domingos"/>
    <x v="0"/>
    <d v="2024-08-23T00:00:00"/>
    <x v="0"/>
    <n v="15"/>
    <x v="0"/>
    <s v="Yes"/>
    <n v="30"/>
    <s v="Yes"/>
    <n v="20"/>
    <n v="15"/>
    <x v="14"/>
  </r>
  <r>
    <n v="3411"/>
    <s v="Samuel Viana"/>
    <x v="2"/>
    <d v="2024-08-24T00:00:00"/>
    <x v="1"/>
    <n v="10"/>
    <x v="0"/>
    <s v="No"/>
    <s v="-"/>
    <s v="Yes"/>
    <n v="20"/>
    <n v="5"/>
    <x v="13"/>
  </r>
  <r>
    <n v="3412"/>
    <s v="Tatiane Rocha"/>
    <x v="1"/>
    <d v="2024-08-25T00:00:00"/>
    <x v="0"/>
    <n v="5"/>
    <x v="1"/>
    <s v="No"/>
    <s v="-"/>
    <s v="No"/>
    <n v="0"/>
    <n v="0"/>
    <x v="1"/>
  </r>
  <r>
    <n v="3413"/>
    <s v="Ulysses Farias"/>
    <x v="0"/>
    <d v="2024-08-26T00:00:00"/>
    <x v="1"/>
    <n v="15"/>
    <x v="2"/>
    <s v="Yes"/>
    <n v="30"/>
    <s v="Yes"/>
    <n v="20"/>
    <n v="20"/>
    <x v="8"/>
  </r>
  <r>
    <n v="3414"/>
    <s v="Vanessa Moreira"/>
    <x v="2"/>
    <d v="2024-08-27T00:00:00"/>
    <x v="0"/>
    <n v="10"/>
    <x v="2"/>
    <s v="No"/>
    <s v="-"/>
    <s v="Yes"/>
    <n v="20"/>
    <n v="12"/>
    <x v="10"/>
  </r>
  <r>
    <n v="3415"/>
    <s v="William Carvalho"/>
    <x v="1"/>
    <d v="2024-08-28T00:00:00"/>
    <x v="1"/>
    <n v="5"/>
    <x v="0"/>
    <s v="No"/>
    <s v="-"/>
    <s v="No"/>
    <n v="0"/>
    <n v="2"/>
    <x v="11"/>
  </r>
  <r>
    <n v="3416"/>
    <s v="Ximena Barros"/>
    <x v="0"/>
    <d v="2024-08-29T00:00:00"/>
    <x v="0"/>
    <n v="15"/>
    <x v="1"/>
    <s v="Yes"/>
    <n v="30"/>
    <s v="Yes"/>
    <n v="20"/>
    <n v="5"/>
    <x v="0"/>
  </r>
  <r>
    <n v="3417"/>
    <s v="Yara Machado"/>
    <x v="2"/>
    <d v="2024-08-30T00:00:00"/>
    <x v="1"/>
    <n v="10"/>
    <x v="0"/>
    <s v="No"/>
    <s v="-"/>
    <s v="Yes"/>
    <n v="20"/>
    <n v="10"/>
    <x v="2"/>
  </r>
  <r>
    <n v="3418"/>
    <s v="Zacarias Costa"/>
    <x v="1"/>
    <d v="2024-08-31T00:00:00"/>
    <x v="0"/>
    <n v="5"/>
    <x v="2"/>
    <s v="No"/>
    <s v="-"/>
    <s v="No"/>
    <n v="0"/>
    <n v="0"/>
    <x v="1"/>
  </r>
  <r>
    <n v="3419"/>
    <s v="André Lopes"/>
    <x v="0"/>
    <d v="2024-09-01T00:00:00"/>
    <x v="1"/>
    <n v="15"/>
    <x v="0"/>
    <s v="Yes"/>
    <n v="30"/>
    <s v="Yes"/>
    <n v="20"/>
    <n v="3"/>
    <x v="3"/>
  </r>
  <r>
    <n v="3420"/>
    <s v="Beatriz Souza"/>
    <x v="2"/>
    <d v="2024-09-02T00:00:00"/>
    <x v="0"/>
    <n v="10"/>
    <x v="1"/>
    <s v="No"/>
    <s v="-"/>
    <s v="Yes"/>
    <n v="20"/>
    <n v="15"/>
    <x v="7"/>
  </r>
  <r>
    <n v="3421"/>
    <s v="Caio Pereira"/>
    <x v="1"/>
    <d v="2024-09-03T00:00:00"/>
    <x v="1"/>
    <n v="5"/>
    <x v="0"/>
    <s v="No"/>
    <s v="-"/>
    <s v="No"/>
    <n v="0"/>
    <n v="1"/>
    <x v="4"/>
  </r>
  <r>
    <n v="3422"/>
    <s v="Daniela Araújo"/>
    <x v="0"/>
    <d v="2024-09-04T00:00:00"/>
    <x v="0"/>
    <n v="15"/>
    <x v="2"/>
    <s v="Yes"/>
    <n v="30"/>
    <s v="Yes"/>
    <n v="20"/>
    <n v="7"/>
    <x v="12"/>
  </r>
  <r>
    <n v="3423"/>
    <s v="Eduardo Santos"/>
    <x v="2"/>
    <d v="2024-09-05T00:00:00"/>
    <x v="1"/>
    <n v="10"/>
    <x v="0"/>
    <s v="No"/>
    <s v="-"/>
    <s v="Yes"/>
    <n v="20"/>
    <n v="10"/>
    <x v="2"/>
  </r>
  <r>
    <n v="3424"/>
    <s v="Fernanda Lima"/>
    <x v="1"/>
    <d v="2024-09-06T00:00:00"/>
    <x v="0"/>
    <n v="5"/>
    <x v="1"/>
    <s v="No"/>
    <s v="-"/>
    <s v="No"/>
    <n v="0"/>
    <n v="0"/>
    <x v="1"/>
  </r>
  <r>
    <n v="3425"/>
    <s v="Gabriel Teixeira"/>
    <x v="0"/>
    <d v="2024-09-07T00:00:00"/>
    <x v="1"/>
    <n v="15"/>
    <x v="0"/>
    <s v="Yes"/>
    <n v="30"/>
    <s v="Yes"/>
    <n v="20"/>
    <n v="20"/>
    <x v="8"/>
  </r>
  <r>
    <n v="3426"/>
    <s v="Helena Ribeiro"/>
    <x v="2"/>
    <d v="2024-09-08T00:00:00"/>
    <x v="0"/>
    <n v="10"/>
    <x v="2"/>
    <s v="No"/>
    <s v="-"/>
    <s v="Yes"/>
    <n v="20"/>
    <n v="15"/>
    <x v="7"/>
  </r>
  <r>
    <n v="3427"/>
    <s v="Igor Mendes"/>
    <x v="1"/>
    <d v="2024-09-09T00:00:00"/>
    <x v="1"/>
    <n v="5"/>
    <x v="0"/>
    <s v="No"/>
    <s v="-"/>
    <s v="No"/>
    <n v="0"/>
    <n v="1"/>
    <x v="4"/>
  </r>
  <r>
    <n v="3428"/>
    <s v="Joana Silveira"/>
    <x v="0"/>
    <d v="2024-09-10T00:00:00"/>
    <x v="0"/>
    <n v="15"/>
    <x v="1"/>
    <s v="Yes"/>
    <n v="30"/>
    <s v="Yes"/>
    <n v="20"/>
    <n v="3"/>
    <x v="3"/>
  </r>
  <r>
    <n v="3429"/>
    <s v="Lucas Martins"/>
    <x v="2"/>
    <d v="2024-09-11T00:00:00"/>
    <x v="1"/>
    <n v="10"/>
    <x v="0"/>
    <s v="No"/>
    <s v="-"/>
    <s v="Yes"/>
    <n v="20"/>
    <n v="10"/>
    <x v="2"/>
  </r>
  <r>
    <n v="3430"/>
    <s v="Marcela Gouveia"/>
    <x v="1"/>
    <d v="2024-09-12T00:00:00"/>
    <x v="0"/>
    <n v="5"/>
    <x v="2"/>
    <s v="No"/>
    <s v="-"/>
    <s v="No"/>
    <n v="0"/>
    <n v="0"/>
    <x v="1"/>
  </r>
  <r>
    <n v="3431"/>
    <s v="Nicolas Borges"/>
    <x v="0"/>
    <d v="2024-09-13T00:00:00"/>
    <x v="1"/>
    <n v="15"/>
    <x v="0"/>
    <s v="Yes"/>
    <n v="30"/>
    <s v="Yes"/>
    <n v="20"/>
    <n v="15"/>
    <x v="14"/>
  </r>
  <r>
    <n v="3432"/>
    <s v="Olivia Freitas"/>
    <x v="2"/>
    <d v="2024-09-14T00:00:00"/>
    <x v="0"/>
    <n v="10"/>
    <x v="1"/>
    <s v="No"/>
    <s v="-"/>
    <s v="Yes"/>
    <n v="20"/>
    <n v="15"/>
    <x v="7"/>
  </r>
  <r>
    <n v="3433"/>
    <s v="Paulo Nogueira"/>
    <x v="1"/>
    <d v="2024-09-15T00:00:00"/>
    <x v="1"/>
    <n v="5"/>
    <x v="0"/>
    <s v="No"/>
    <s v="-"/>
    <s v="No"/>
    <n v="0"/>
    <n v="1"/>
    <x v="4"/>
  </r>
  <r>
    <n v="3434"/>
    <s v="Raquel Andrade"/>
    <x v="0"/>
    <d v="2024-09-16T00:00:00"/>
    <x v="0"/>
    <n v="15"/>
    <x v="2"/>
    <s v="Yes"/>
    <n v="30"/>
    <s v="Yes"/>
    <n v="20"/>
    <n v="7"/>
    <x v="12"/>
  </r>
  <r>
    <n v="3435"/>
    <s v="Sônia Carvalho"/>
    <x v="2"/>
    <d v="2024-09-17T00:00:00"/>
    <x v="1"/>
    <n v="10"/>
    <x v="0"/>
    <s v="No"/>
    <s v="-"/>
    <s v="Yes"/>
    <n v="20"/>
    <n v="10"/>
    <x v="2"/>
  </r>
  <r>
    <n v="3436"/>
    <s v="Tiago Rodrigues"/>
    <x v="1"/>
    <d v="2024-09-18T00:00:00"/>
    <x v="0"/>
    <n v="5"/>
    <x v="0"/>
    <s v="No"/>
    <s v="-"/>
    <s v="No"/>
    <n v="0"/>
    <n v="0"/>
    <x v="1"/>
  </r>
  <r>
    <n v="3437"/>
    <s v="Ursula Monteiro"/>
    <x v="0"/>
    <d v="2024-09-19T00:00:00"/>
    <x v="1"/>
    <n v="15"/>
    <x v="2"/>
    <s v="Yes"/>
    <n v="30"/>
    <s v="Yes"/>
    <n v="20"/>
    <n v="7"/>
    <x v="12"/>
  </r>
  <r>
    <n v="3438"/>
    <s v="Vanessa Pereira"/>
    <x v="2"/>
    <d v="2024-09-20T00:00:00"/>
    <x v="0"/>
    <n v="10"/>
    <x v="1"/>
    <s v="No"/>
    <s v="-"/>
    <s v="Yes"/>
    <n v="20"/>
    <n v="10"/>
    <x v="2"/>
  </r>
  <r>
    <n v="3439"/>
    <s v="Walter Silva"/>
    <x v="1"/>
    <d v="2024-09-21T00:00:00"/>
    <x v="1"/>
    <n v="5"/>
    <x v="2"/>
    <s v="No"/>
    <s v="-"/>
    <s v="No"/>
    <n v="0"/>
    <n v="1"/>
    <x v="4"/>
  </r>
  <r>
    <n v="3440"/>
    <s v="Xavier Almeida"/>
    <x v="0"/>
    <d v="2024-09-22T00:00:00"/>
    <x v="0"/>
    <n v="15"/>
    <x v="0"/>
    <s v="Yes"/>
    <n v="30"/>
    <s v="Yes"/>
    <n v="20"/>
    <n v="15"/>
    <x v="14"/>
  </r>
  <r>
    <n v="3441"/>
    <s v="Yasmine Correia"/>
    <x v="2"/>
    <d v="2024-09-23T00:00:00"/>
    <x v="1"/>
    <n v="10"/>
    <x v="0"/>
    <s v="No"/>
    <s v="-"/>
    <s v="Yes"/>
    <n v="20"/>
    <n v="5"/>
    <x v="13"/>
  </r>
  <r>
    <n v="3442"/>
    <s v="Zacarias Almeida"/>
    <x v="1"/>
    <d v="2024-09-24T00:00:00"/>
    <x v="0"/>
    <n v="5"/>
    <x v="1"/>
    <s v="No"/>
    <s v="-"/>
    <s v="No"/>
    <n v="0"/>
    <n v="0"/>
    <x v="1"/>
  </r>
  <r>
    <n v="3443"/>
    <s v="Amanda Costa"/>
    <x v="0"/>
    <d v="2024-09-25T00:00:00"/>
    <x v="1"/>
    <n v="15"/>
    <x v="2"/>
    <s v="Yes"/>
    <n v="30"/>
    <s v="Yes"/>
    <n v="20"/>
    <n v="20"/>
    <x v="8"/>
  </r>
  <r>
    <n v="3444"/>
    <s v="Bruno Ferreira"/>
    <x v="2"/>
    <d v="2024-09-26T00:00:00"/>
    <x v="0"/>
    <n v="10"/>
    <x v="2"/>
    <s v="No"/>
    <s v="-"/>
    <s v="Yes"/>
    <n v="20"/>
    <n v="12"/>
    <x v="10"/>
  </r>
  <r>
    <n v="3445"/>
    <s v="Carla Dias"/>
    <x v="1"/>
    <d v="2024-09-27T00:00:00"/>
    <x v="1"/>
    <n v="5"/>
    <x v="0"/>
    <s v="No"/>
    <s v="-"/>
    <s v="No"/>
    <n v="0"/>
    <n v="2"/>
    <x v="11"/>
  </r>
  <r>
    <n v="3446"/>
    <s v="Diogo Martins"/>
    <x v="0"/>
    <d v="2024-09-28T00:00:00"/>
    <x v="0"/>
    <n v="15"/>
    <x v="1"/>
    <s v="Yes"/>
    <n v="30"/>
    <s v="Yes"/>
    <n v="20"/>
    <n v="5"/>
    <x v="0"/>
  </r>
  <r>
    <n v="3447"/>
    <s v="Elisa Campos"/>
    <x v="2"/>
    <d v="2024-09-29T00:00:00"/>
    <x v="1"/>
    <n v="10"/>
    <x v="0"/>
    <s v="No"/>
    <s v="-"/>
    <s v="Yes"/>
    <n v="20"/>
    <n v="10"/>
    <x v="2"/>
  </r>
  <r>
    <n v="3448"/>
    <s v="Fabiana Lima"/>
    <x v="1"/>
    <d v="2024-09-30T00:00:00"/>
    <x v="0"/>
    <n v="5"/>
    <x v="2"/>
    <s v="No"/>
    <s v="-"/>
    <s v="No"/>
    <n v="0"/>
    <n v="0"/>
    <x v="1"/>
  </r>
  <r>
    <n v="3449"/>
    <s v="Gabriel Santos"/>
    <x v="0"/>
    <d v="2024-10-01T00:00:00"/>
    <x v="1"/>
    <n v="15"/>
    <x v="0"/>
    <s v="Yes"/>
    <n v="30"/>
    <s v="Yes"/>
    <n v="20"/>
    <n v="3"/>
    <x v="3"/>
  </r>
  <r>
    <n v="3450"/>
    <s v="Helena Ferreira"/>
    <x v="2"/>
    <d v="2024-10-02T00:00:00"/>
    <x v="0"/>
    <n v="10"/>
    <x v="1"/>
    <s v="No"/>
    <s v="-"/>
    <s v="Yes"/>
    <n v="20"/>
    <n v="15"/>
    <x v="7"/>
  </r>
  <r>
    <n v="3451"/>
    <s v="Ígor Nunes"/>
    <x v="1"/>
    <d v="2024-10-03T00:00:00"/>
    <x v="1"/>
    <n v="5"/>
    <x v="0"/>
    <s v="No"/>
    <s v="-"/>
    <s v="No"/>
    <n v="0"/>
    <n v="1"/>
    <x v="4"/>
  </r>
  <r>
    <n v="3452"/>
    <s v="Joana Silveira"/>
    <x v="0"/>
    <d v="2024-10-04T00:00:00"/>
    <x v="0"/>
    <n v="15"/>
    <x v="2"/>
    <s v="Yes"/>
    <n v="30"/>
    <s v="Yes"/>
    <n v="20"/>
    <n v="7"/>
    <x v="12"/>
  </r>
  <r>
    <n v="3453"/>
    <s v="Kléber Oliveira"/>
    <x v="2"/>
    <d v="2024-10-05T00:00:00"/>
    <x v="1"/>
    <n v="10"/>
    <x v="0"/>
    <s v="No"/>
    <s v="-"/>
    <s v="Yes"/>
    <n v="20"/>
    <n v="10"/>
    <x v="2"/>
  </r>
  <r>
    <n v="3454"/>
    <s v="Luciana Morais"/>
    <x v="1"/>
    <d v="2024-10-06T00:00:00"/>
    <x v="0"/>
    <n v="5"/>
    <x v="1"/>
    <s v="No"/>
    <s v="-"/>
    <s v="No"/>
    <n v="0"/>
    <n v="0"/>
    <x v="1"/>
  </r>
  <r>
    <n v="3455"/>
    <s v="Marcos Vinícius"/>
    <x v="0"/>
    <d v="2024-10-07T00:00:00"/>
    <x v="1"/>
    <n v="15"/>
    <x v="0"/>
    <s v="Yes"/>
    <n v="30"/>
    <s v="Yes"/>
    <n v="20"/>
    <n v="20"/>
    <x v="8"/>
  </r>
  <r>
    <n v="3456"/>
    <s v="Natália Barros"/>
    <x v="2"/>
    <d v="2024-10-08T00:00:00"/>
    <x v="0"/>
    <n v="10"/>
    <x v="2"/>
    <s v="No"/>
    <s v="-"/>
    <s v="Yes"/>
    <n v="20"/>
    <n v="15"/>
    <x v="7"/>
  </r>
  <r>
    <n v="3457"/>
    <s v="Oscar Sampaio"/>
    <x v="1"/>
    <d v="2024-10-09T00:00:00"/>
    <x v="1"/>
    <n v="5"/>
    <x v="0"/>
    <s v="No"/>
    <s v="-"/>
    <s v="No"/>
    <n v="0"/>
    <n v="1"/>
    <x v="4"/>
  </r>
  <r>
    <n v="3458"/>
    <s v="Patrícia Leite"/>
    <x v="0"/>
    <d v="2024-10-10T00:00:00"/>
    <x v="0"/>
    <n v="15"/>
    <x v="1"/>
    <s v="Yes"/>
    <n v="30"/>
    <s v="Yes"/>
    <n v="20"/>
    <n v="3"/>
    <x v="3"/>
  </r>
  <r>
    <n v="3459"/>
    <s v="Quênia Rocha"/>
    <x v="2"/>
    <d v="2024-10-11T00:00:00"/>
    <x v="1"/>
    <n v="10"/>
    <x v="0"/>
    <s v="No"/>
    <s v="-"/>
    <s v="Yes"/>
    <n v="20"/>
    <n v="10"/>
    <x v="2"/>
  </r>
  <r>
    <n v="3460"/>
    <s v="Rafael Torres"/>
    <x v="1"/>
    <d v="2024-10-12T00:00:00"/>
    <x v="0"/>
    <n v="5"/>
    <x v="2"/>
    <s v="No"/>
    <s v="-"/>
    <s v="No"/>
    <n v="0"/>
    <n v="0"/>
    <x v="1"/>
  </r>
  <r>
    <n v="3461"/>
    <s v="Sandra Gouveia"/>
    <x v="0"/>
    <d v="2024-10-13T00:00:00"/>
    <x v="1"/>
    <n v="15"/>
    <x v="0"/>
    <s v="Yes"/>
    <n v="30"/>
    <s v="Yes"/>
    <n v="20"/>
    <n v="15"/>
    <x v="14"/>
  </r>
  <r>
    <n v="3462"/>
    <s v="Tiago Lacerda"/>
    <x v="2"/>
    <d v="2024-10-14T00:00:00"/>
    <x v="0"/>
    <n v="10"/>
    <x v="1"/>
    <s v="No"/>
    <s v="-"/>
    <s v="Yes"/>
    <n v="20"/>
    <n v="15"/>
    <x v="7"/>
  </r>
  <r>
    <n v="3463"/>
    <s v="Ursula Fonseca"/>
    <x v="1"/>
    <d v="2024-10-15T00:00:00"/>
    <x v="1"/>
    <n v="5"/>
    <x v="0"/>
    <s v="No"/>
    <s v="-"/>
    <s v="No"/>
    <n v="0"/>
    <n v="1"/>
    <x v="4"/>
  </r>
  <r>
    <n v="3464"/>
    <s v="Vanessa Andrade"/>
    <x v="0"/>
    <d v="2024-10-16T00:00:00"/>
    <x v="0"/>
    <n v="15"/>
    <x v="2"/>
    <s v="Yes"/>
    <n v="30"/>
    <s v="Yes"/>
    <n v="20"/>
    <n v="7"/>
    <x v="12"/>
  </r>
  <r>
    <n v="3465"/>
    <s v="William Castro"/>
    <x v="2"/>
    <d v="2024-10-17T00:00:00"/>
    <x v="1"/>
    <n v="10"/>
    <x v="0"/>
    <s v="No"/>
    <s v="-"/>
    <s v="Yes"/>
    <n v="20"/>
    <n v="10"/>
    <x v="2"/>
  </r>
  <r>
    <n v="3466"/>
    <s v="Xavier Monteiro"/>
    <x v="1"/>
    <d v="2024-10-18T00:00:00"/>
    <x v="0"/>
    <n v="5"/>
    <x v="1"/>
    <s v="No"/>
    <s v="-"/>
    <s v="No"/>
    <n v="0"/>
    <n v="0"/>
    <x v="1"/>
  </r>
  <r>
    <n v="3467"/>
    <s v="Yasmin Figueira"/>
    <x v="0"/>
    <d v="2024-10-19T00:00:00"/>
    <x v="1"/>
    <n v="15"/>
    <x v="0"/>
    <s v="Yes"/>
    <n v="30"/>
    <s v="Yes"/>
    <n v="20"/>
    <n v="15"/>
    <x v="14"/>
  </r>
  <r>
    <n v="3468"/>
    <s v="Zacarias Mendonça"/>
    <x v="2"/>
    <d v="2024-10-20T00:00:00"/>
    <x v="0"/>
    <n v="10"/>
    <x v="2"/>
    <s v="No"/>
    <s v="-"/>
    <s v="Yes"/>
    <n v="20"/>
    <n v="12"/>
    <x v="10"/>
  </r>
  <r>
    <n v="3469"/>
    <s v="Amanda Menezes"/>
    <x v="1"/>
    <d v="2024-10-21T00:00:00"/>
    <x v="1"/>
    <n v="5"/>
    <x v="0"/>
    <s v="No"/>
    <s v="-"/>
    <s v="No"/>
    <n v="0"/>
    <n v="2"/>
    <x v="11"/>
  </r>
  <r>
    <n v="3470"/>
    <s v="Bruno Santos"/>
    <x v="0"/>
    <d v="2024-10-22T00:00:00"/>
    <x v="0"/>
    <n v="15"/>
    <x v="1"/>
    <s v="Yes"/>
    <n v="30"/>
    <s v="Yes"/>
    <n v="20"/>
    <n v="5"/>
    <x v="0"/>
  </r>
  <r>
    <n v="3471"/>
    <s v="Carla Ferreira"/>
    <x v="2"/>
    <d v="2024-10-23T00:00:00"/>
    <x v="1"/>
    <n v="10"/>
    <x v="0"/>
    <s v="No"/>
    <s v="-"/>
    <s v="Yes"/>
    <n v="20"/>
    <n v="10"/>
    <x v="2"/>
  </r>
  <r>
    <n v="3472"/>
    <s v="Diogo Alves"/>
    <x v="1"/>
    <d v="2024-10-24T00:00:00"/>
    <x v="0"/>
    <n v="5"/>
    <x v="2"/>
    <s v="No"/>
    <s v="-"/>
    <s v="No"/>
    <n v="0"/>
    <n v="0"/>
    <x v="1"/>
  </r>
  <r>
    <n v="3473"/>
    <s v="Elisa Neves"/>
    <x v="0"/>
    <d v="2024-10-25T00:00:00"/>
    <x v="1"/>
    <n v="15"/>
    <x v="0"/>
    <s v="Yes"/>
    <n v="30"/>
    <s v="Yes"/>
    <n v="20"/>
    <n v="3"/>
    <x v="3"/>
  </r>
  <r>
    <n v="3474"/>
    <s v="Fabiano Pires"/>
    <x v="2"/>
    <d v="2024-10-26T00:00:00"/>
    <x v="0"/>
    <n v="10"/>
    <x v="1"/>
    <s v="No"/>
    <s v="-"/>
    <s v="Yes"/>
    <n v="20"/>
    <n v="15"/>
    <x v="7"/>
  </r>
  <r>
    <n v="3475"/>
    <s v="Giovana Ribeiro"/>
    <x v="1"/>
    <d v="2024-10-27T00:00:00"/>
    <x v="1"/>
    <n v="5"/>
    <x v="0"/>
    <s v="No"/>
    <s v="-"/>
    <s v="No"/>
    <n v="0"/>
    <n v="1"/>
    <x v="4"/>
  </r>
  <r>
    <n v="3476"/>
    <s v="Hélio Costa"/>
    <x v="0"/>
    <d v="2024-10-28T00:00:00"/>
    <x v="0"/>
    <n v="15"/>
    <x v="2"/>
    <s v="Yes"/>
    <n v="30"/>
    <s v="Yes"/>
    <n v="20"/>
    <n v="7"/>
    <x v="12"/>
  </r>
  <r>
    <n v="3477"/>
    <s v="Íris Loureiro"/>
    <x v="2"/>
    <d v="2024-10-29T00:00:00"/>
    <x v="1"/>
    <n v="10"/>
    <x v="0"/>
    <s v="No"/>
    <s v="-"/>
    <s v="Yes"/>
    <n v="20"/>
    <n v="10"/>
    <x v="2"/>
  </r>
  <r>
    <n v="3478"/>
    <s v="João Pereira"/>
    <x v="1"/>
    <d v="2024-10-30T00:00:00"/>
    <x v="0"/>
    <n v="5"/>
    <x v="1"/>
    <s v="No"/>
    <s v="-"/>
    <s v="No"/>
    <n v="0"/>
    <n v="0"/>
    <x v="1"/>
  </r>
  <r>
    <n v="3479"/>
    <s v="Klara Silva"/>
    <x v="0"/>
    <d v="2024-10-31T00:00:00"/>
    <x v="1"/>
    <n v="15"/>
    <x v="0"/>
    <s v="Yes"/>
    <n v="30"/>
    <s v="Yes"/>
    <n v="20"/>
    <n v="20"/>
    <x v="8"/>
  </r>
  <r>
    <n v="3480"/>
    <s v="Luciana Barros"/>
    <x v="2"/>
    <d v="2024-11-01T00:00:00"/>
    <x v="0"/>
    <n v="10"/>
    <x v="2"/>
    <s v="No"/>
    <s v="-"/>
    <s v="Yes"/>
    <n v="20"/>
    <n v="15"/>
    <x v="7"/>
  </r>
  <r>
    <n v="3481"/>
    <s v="Marcos Gomes"/>
    <x v="1"/>
    <d v="2024-11-02T00:00:00"/>
    <x v="1"/>
    <n v="5"/>
    <x v="0"/>
    <s v="No"/>
    <s v="-"/>
    <s v="No"/>
    <n v="0"/>
    <n v="1"/>
    <x v="4"/>
  </r>
  <r>
    <n v="3482"/>
    <s v="Natália Soares"/>
    <x v="0"/>
    <d v="2024-11-03T00:00:00"/>
    <x v="0"/>
    <n v="15"/>
    <x v="1"/>
    <s v="Yes"/>
    <n v="30"/>
    <s v="Yes"/>
    <n v="20"/>
    <n v="3"/>
    <x v="3"/>
  </r>
  <r>
    <n v="3483"/>
    <s v="Oscar Machado"/>
    <x v="2"/>
    <d v="2024-11-04T00:00:00"/>
    <x v="1"/>
    <n v="10"/>
    <x v="0"/>
    <s v="No"/>
    <s v="-"/>
    <s v="Yes"/>
    <n v="20"/>
    <n v="10"/>
    <x v="2"/>
  </r>
  <r>
    <n v="3484"/>
    <s v="Patrícia Lima"/>
    <x v="1"/>
    <d v="2024-11-05T00:00:00"/>
    <x v="0"/>
    <n v="5"/>
    <x v="2"/>
    <s v="No"/>
    <s v="-"/>
    <s v="No"/>
    <n v="0"/>
    <n v="0"/>
    <x v="1"/>
  </r>
  <r>
    <n v="3485"/>
    <s v="Quirino Neto"/>
    <x v="0"/>
    <d v="2024-11-06T00:00:00"/>
    <x v="1"/>
    <n v="15"/>
    <x v="0"/>
    <s v="Yes"/>
    <n v="30"/>
    <s v="Yes"/>
    <n v="20"/>
    <n v="15"/>
    <x v="14"/>
  </r>
  <r>
    <n v="3486"/>
    <s v="Rafaela Souza"/>
    <x v="1"/>
    <d v="2024-11-07T00:00:00"/>
    <x v="0"/>
    <n v="5"/>
    <x v="0"/>
    <s v="No"/>
    <s v="-"/>
    <s v="No"/>
    <n v="0"/>
    <n v="0"/>
    <x v="1"/>
  </r>
  <r>
    <n v="3487"/>
    <s v="Sandro Almeida"/>
    <x v="0"/>
    <d v="2024-11-08T00:00:00"/>
    <x v="1"/>
    <n v="15"/>
    <x v="2"/>
    <s v="Yes"/>
    <n v="30"/>
    <s v="Yes"/>
    <n v="20"/>
    <n v="7"/>
    <x v="12"/>
  </r>
  <r>
    <n v="3488"/>
    <s v="Tânia Ribeiro"/>
    <x v="2"/>
    <d v="2024-11-09T00:00:00"/>
    <x v="0"/>
    <n v="10"/>
    <x v="1"/>
    <s v="No"/>
    <s v="-"/>
    <s v="Yes"/>
    <n v="20"/>
    <n v="10"/>
    <x v="2"/>
  </r>
  <r>
    <n v="3489"/>
    <s v="Ugo Dias"/>
    <x v="1"/>
    <d v="2024-11-10T00:00:00"/>
    <x v="1"/>
    <n v="5"/>
    <x v="2"/>
    <s v="No"/>
    <s v="-"/>
    <s v="No"/>
    <n v="0"/>
    <n v="1"/>
    <x v="4"/>
  </r>
  <r>
    <n v="3490"/>
    <s v="Valéria Lima"/>
    <x v="0"/>
    <d v="2024-11-11T00:00:00"/>
    <x v="0"/>
    <n v="15"/>
    <x v="0"/>
    <s v="Yes"/>
    <n v="30"/>
    <s v="Yes"/>
    <n v="20"/>
    <n v="15"/>
    <x v="14"/>
  </r>
  <r>
    <n v="3491"/>
    <s v="William Fernandes"/>
    <x v="2"/>
    <d v="2024-11-12T00:00:00"/>
    <x v="1"/>
    <n v="10"/>
    <x v="0"/>
    <s v="No"/>
    <s v="-"/>
    <s v="Yes"/>
    <n v="20"/>
    <n v="5"/>
    <x v="13"/>
  </r>
  <r>
    <n v="3492"/>
    <s v="Xuxa Mendes"/>
    <x v="1"/>
    <d v="2024-11-13T00:00:00"/>
    <x v="0"/>
    <n v="5"/>
    <x v="1"/>
    <s v="No"/>
    <s v="-"/>
    <s v="No"/>
    <n v="0"/>
    <n v="0"/>
    <x v="1"/>
  </r>
  <r>
    <n v="3493"/>
    <s v="Ygor Farias"/>
    <x v="0"/>
    <d v="2024-11-14T00:00:00"/>
    <x v="1"/>
    <n v="15"/>
    <x v="2"/>
    <s v="Yes"/>
    <n v="30"/>
    <s v="Yes"/>
    <n v="20"/>
    <n v="20"/>
    <x v="8"/>
  </r>
  <r>
    <n v="3494"/>
    <s v="Zilda Barros"/>
    <x v="2"/>
    <d v="2024-11-15T00:00:00"/>
    <x v="0"/>
    <n v="10"/>
    <x v="2"/>
    <s v="No"/>
    <s v="-"/>
    <s v="Yes"/>
    <n v="20"/>
    <n v="12"/>
    <x v="10"/>
  </r>
  <r>
    <n v="3495"/>
    <s v="Amanda Santos"/>
    <x v="1"/>
    <d v="2024-11-16T00:00:00"/>
    <x v="1"/>
    <n v="5"/>
    <x v="0"/>
    <s v="No"/>
    <s v="-"/>
    <s v="No"/>
    <n v="0"/>
    <n v="2"/>
    <x v="11"/>
  </r>
  <r>
    <n v="3496"/>
    <s v="Bruno Costa"/>
    <x v="0"/>
    <d v="2024-11-17T00:00:00"/>
    <x v="0"/>
    <n v="15"/>
    <x v="1"/>
    <s v="Yes"/>
    <n v="30"/>
    <s v="Yes"/>
    <n v="20"/>
    <n v="5"/>
    <x v="0"/>
  </r>
  <r>
    <n v="3497"/>
    <s v="Carla Rodrigues"/>
    <x v="2"/>
    <d v="2024-11-18T00:00:00"/>
    <x v="1"/>
    <n v="10"/>
    <x v="0"/>
    <s v="No"/>
    <s v="-"/>
    <s v="Yes"/>
    <n v="20"/>
    <n v="10"/>
    <x v="2"/>
  </r>
  <r>
    <n v="3498"/>
    <s v="Diogo Pereira"/>
    <x v="1"/>
    <d v="2024-11-19T00:00:00"/>
    <x v="0"/>
    <n v="5"/>
    <x v="2"/>
    <s v="No"/>
    <s v="-"/>
    <s v="No"/>
    <n v="0"/>
    <n v="0"/>
    <x v="1"/>
  </r>
  <r>
    <n v="3499"/>
    <s v="Elisa Correia"/>
    <x v="0"/>
    <d v="2024-11-20T00:00:00"/>
    <x v="1"/>
    <n v="15"/>
    <x v="0"/>
    <s v="Yes"/>
    <n v="30"/>
    <s v="Yes"/>
    <n v="20"/>
    <n v="3"/>
    <x v="3"/>
  </r>
  <r>
    <n v="3500"/>
    <s v="Fábio Lourenço"/>
    <x v="2"/>
    <d v="2024-11-21T00:00:00"/>
    <x v="0"/>
    <n v="10"/>
    <x v="1"/>
    <s v="No"/>
    <s v="-"/>
    <s v="Yes"/>
    <n v="20"/>
    <n v="15"/>
    <x v="7"/>
  </r>
  <r>
    <n v="3501"/>
    <s v="Gabriela Neves"/>
    <x v="1"/>
    <d v="2024-11-22T00:00:00"/>
    <x v="1"/>
    <n v="5"/>
    <x v="0"/>
    <s v="No"/>
    <s v="-"/>
    <s v="No"/>
    <n v="0"/>
    <n v="1"/>
    <x v="4"/>
  </r>
  <r>
    <n v="3502"/>
    <s v="Henrique Gonçalves"/>
    <x v="0"/>
    <d v="2024-11-23T00:00:00"/>
    <x v="0"/>
    <n v="15"/>
    <x v="2"/>
    <s v="Yes"/>
    <n v="30"/>
    <s v="Yes"/>
    <n v="20"/>
    <n v="7"/>
    <x v="12"/>
  </r>
  <r>
    <n v="3503"/>
    <s v="Íris Santos"/>
    <x v="2"/>
    <d v="2024-11-24T00:00:00"/>
    <x v="1"/>
    <n v="10"/>
    <x v="0"/>
    <s v="No"/>
    <s v="-"/>
    <s v="Yes"/>
    <n v="20"/>
    <n v="10"/>
    <x v="2"/>
  </r>
  <r>
    <n v="3504"/>
    <s v="João Marcelo Alves"/>
    <x v="1"/>
    <d v="2024-11-25T00:00:00"/>
    <x v="0"/>
    <n v="5"/>
    <x v="1"/>
    <s v="No"/>
    <s v="-"/>
    <s v="No"/>
    <n v="0"/>
    <n v="0"/>
    <x v="1"/>
  </r>
  <r>
    <n v="3505"/>
    <s v="Klara Fonseca"/>
    <x v="0"/>
    <d v="2024-11-26T00:00:00"/>
    <x v="1"/>
    <n v="15"/>
    <x v="0"/>
    <s v="Yes"/>
    <n v="30"/>
    <s v="Yes"/>
    <n v="20"/>
    <n v="20"/>
    <x v="8"/>
  </r>
  <r>
    <n v="3506"/>
    <s v="Lucas Mendonça"/>
    <x v="2"/>
    <d v="2024-11-27T00:00:00"/>
    <x v="0"/>
    <n v="10"/>
    <x v="2"/>
    <s v="No"/>
    <s v="-"/>
    <s v="Yes"/>
    <n v="20"/>
    <n v="15"/>
    <x v="7"/>
  </r>
  <r>
    <n v="3507"/>
    <s v="Marcela Torres"/>
    <x v="1"/>
    <d v="2024-11-28T00:00:00"/>
    <x v="1"/>
    <n v="5"/>
    <x v="0"/>
    <s v="No"/>
    <s v="-"/>
    <s v="No"/>
    <n v="0"/>
    <n v="1"/>
    <x v="4"/>
  </r>
  <r>
    <n v="3508"/>
    <s v="Natália Castro"/>
    <x v="0"/>
    <d v="2024-11-29T00:00:00"/>
    <x v="0"/>
    <n v="15"/>
    <x v="1"/>
    <s v="Yes"/>
    <n v="30"/>
    <s v="Yes"/>
    <n v="20"/>
    <n v="3"/>
    <x v="3"/>
  </r>
  <r>
    <n v="3509"/>
    <s v="Oscar Martins"/>
    <x v="2"/>
    <d v="2024-11-30T00:00:00"/>
    <x v="1"/>
    <n v="10"/>
    <x v="0"/>
    <s v="No"/>
    <s v="-"/>
    <s v="Yes"/>
    <n v="20"/>
    <n v="10"/>
    <x v="2"/>
  </r>
  <r>
    <n v="3510"/>
    <s v="Patrícia Oliveira"/>
    <x v="1"/>
    <d v="2024-12-01T00:00:00"/>
    <x v="0"/>
    <n v="5"/>
    <x v="2"/>
    <s v="No"/>
    <s v="-"/>
    <s v="No"/>
    <n v="0"/>
    <n v="0"/>
    <x v="1"/>
  </r>
  <r>
    <n v="3511"/>
    <s v="Quentin Nogueira"/>
    <x v="0"/>
    <d v="2024-12-02T00:00:00"/>
    <x v="1"/>
    <n v="15"/>
    <x v="0"/>
    <s v="Yes"/>
    <n v="30"/>
    <s v="Yes"/>
    <n v="20"/>
    <n v="15"/>
    <x v="14"/>
  </r>
  <r>
    <n v="3512"/>
    <s v="Raquel Silva"/>
    <x v="2"/>
    <d v="2024-12-03T00:00:00"/>
    <x v="0"/>
    <n v="10"/>
    <x v="1"/>
    <s v="No"/>
    <s v="-"/>
    <s v="Yes"/>
    <n v="20"/>
    <n v="15"/>
    <x v="7"/>
  </r>
  <r>
    <n v="3513"/>
    <s v="Sandro Gomes"/>
    <x v="1"/>
    <d v="2024-12-04T00:00:00"/>
    <x v="1"/>
    <n v="5"/>
    <x v="0"/>
    <s v="No"/>
    <s v="-"/>
    <s v="No"/>
    <n v="0"/>
    <n v="1"/>
    <x v="4"/>
  </r>
  <r>
    <n v="3514"/>
    <s v="Tânia Machado"/>
    <x v="0"/>
    <d v="2024-12-05T00:00:00"/>
    <x v="0"/>
    <n v="15"/>
    <x v="2"/>
    <s v="Yes"/>
    <n v="30"/>
    <s v="Yes"/>
    <n v="20"/>
    <n v="7"/>
    <x v="12"/>
  </r>
  <r>
    <n v="3515"/>
    <s v="Ursula Silva"/>
    <x v="2"/>
    <d v="2024-12-06T00:00:00"/>
    <x v="1"/>
    <n v="10"/>
    <x v="0"/>
    <s v="No"/>
    <s v="-"/>
    <s v="Yes"/>
    <n v="20"/>
    <n v="10"/>
    <x v="2"/>
  </r>
  <r>
    <n v="3516"/>
    <s v="Vanessa Moraes"/>
    <x v="1"/>
    <d v="2024-12-07T00:00:00"/>
    <x v="0"/>
    <n v="5"/>
    <x v="1"/>
    <s v="No"/>
    <s v="-"/>
    <s v="No"/>
    <n v="0"/>
    <n v="0"/>
    <x v="1"/>
  </r>
  <r>
    <n v="3517"/>
    <s v="William Carvalho"/>
    <x v="0"/>
    <d v="2024-12-08T00:00:00"/>
    <x v="1"/>
    <n v="15"/>
    <x v="0"/>
    <s v="Yes"/>
    <n v="30"/>
    <s v="Yes"/>
    <n v="20"/>
    <n v="20"/>
    <x v="8"/>
  </r>
  <r>
    <n v="3518"/>
    <s v="Xavier Reis"/>
    <x v="2"/>
    <d v="2024-12-09T00:00:00"/>
    <x v="0"/>
    <n v="10"/>
    <x v="2"/>
    <s v="No"/>
    <s v="-"/>
    <s v="Yes"/>
    <n v="20"/>
    <n v="12"/>
    <x v="10"/>
  </r>
  <r>
    <n v="3519"/>
    <s v="Yasmin Rocha"/>
    <x v="1"/>
    <d v="2024-12-10T00:00:00"/>
    <x v="1"/>
    <n v="5"/>
    <x v="0"/>
    <s v="No"/>
    <s v="-"/>
    <s v="No"/>
    <n v="0"/>
    <n v="2"/>
    <x v="11"/>
  </r>
  <r>
    <n v="3520"/>
    <s v="Zacarias Duarte"/>
    <x v="0"/>
    <d v="2024-12-11T00:00:00"/>
    <x v="0"/>
    <n v="15"/>
    <x v="1"/>
    <s v="Yes"/>
    <n v="30"/>
    <s v="Yes"/>
    <n v="20"/>
    <n v="5"/>
    <x v="0"/>
  </r>
  <r>
    <n v="3521"/>
    <s v="Amanda Freitas"/>
    <x v="2"/>
    <d v="2024-12-12T00:00:00"/>
    <x v="1"/>
    <n v="10"/>
    <x v="0"/>
    <s v="No"/>
    <s v="-"/>
    <s v="Yes"/>
    <n v="20"/>
    <n v="10"/>
    <x v="2"/>
  </r>
  <r>
    <n v="3522"/>
    <s v="Bruno Almeida"/>
    <x v="1"/>
    <d v="2024-12-13T00:00:00"/>
    <x v="0"/>
    <n v="5"/>
    <x v="2"/>
    <s v="No"/>
    <s v="-"/>
    <s v="No"/>
    <n v="0"/>
    <n v="0"/>
    <x v="1"/>
  </r>
  <r>
    <n v="3523"/>
    <s v="Carla Siqueira"/>
    <x v="0"/>
    <d v="2024-12-14T00:00:00"/>
    <x v="1"/>
    <n v="15"/>
    <x v="0"/>
    <s v="Yes"/>
    <n v="30"/>
    <s v="Yes"/>
    <n v="20"/>
    <n v="3"/>
    <x v="3"/>
  </r>
  <r>
    <n v="3524"/>
    <s v="Diogo Ramos"/>
    <x v="2"/>
    <d v="2024-12-15T00:00:00"/>
    <x v="0"/>
    <n v="10"/>
    <x v="1"/>
    <s v="No"/>
    <s v="-"/>
    <s v="Yes"/>
    <n v="20"/>
    <n v="15"/>
    <x v="7"/>
  </r>
  <r>
    <n v="3525"/>
    <s v="Elisa Magalhães"/>
    <x v="1"/>
    <d v="2024-12-16T00:00:00"/>
    <x v="1"/>
    <n v="5"/>
    <x v="0"/>
    <s v="No"/>
    <s v="-"/>
    <s v="No"/>
    <n v="0"/>
    <n v="1"/>
    <x v="4"/>
  </r>
  <r>
    <m/>
    <m/>
    <x v="3"/>
    <m/>
    <x v="2"/>
    <m/>
    <x v="3"/>
    <m/>
    <m/>
    <m/>
    <m/>
    <m/>
    <x v="15"/>
  </r>
  <r>
    <m/>
    <m/>
    <x v="3"/>
    <m/>
    <x v="2"/>
    <m/>
    <x v="3"/>
    <m/>
    <m/>
    <m/>
    <m/>
    <m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5330D-4DC1-4234-AD9D-76008452CA46}" name="Tabela dinâmica1" cacheId="1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F8:G12" firstHeaderRow="1" firstDataRow="1" firstDataCol="1"/>
  <pivotFields count="13"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17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C74AF-0080-4C11-BB3C-2F2CA219ABE7}" name="Revenue by Plan Type" cacheId="1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C8:D12" firstHeaderRow="1" firstDataRow="1" firstDataCol="1"/>
  <pivotFields count="13"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BB39A-D5F2-4D61-8D84-F8B56330E64E}" name="Revenue by Auto Renewal" cacheId="1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C15:D18" firstHeaderRow="1" firstDataRow="1" firstDataCol="1"/>
  <pivotFields count="13">
    <pivotField compact="0" outline="0" showAll="0"/>
    <pivotField compact="0" outline="0" showAll="0"/>
    <pivotField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axis="axisRow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/>
  </dataField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2B245-8E10-4313-8311-382F02DB6DEB}" name="Tabela dinâmica2" cacheId="1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B22:C26" firstHeaderRow="1" firstDataRow="1" firstDataCol="1"/>
  <pivotFields count="13">
    <pivotField compact="0" outline="0" showAll="0"/>
    <pivotField compact="0" outline="0" showAll="0"/>
    <pivotField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4B743-BDD0-4807-9DC5-F85F2F419B7E}" name="Total Revenue" cacheId="1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C4:C5" firstHeaderRow="1" firstDataRow="1" firstDataCol="0"/>
  <pivotFields count="13">
    <pivotField compact="0" outline="0" showAll="0"/>
    <pivotField compact="0" outline="0" showAll="0"/>
    <pivotField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Items count="1">
    <i/>
  </rowItems>
  <colItems count="1">
    <i/>
  </colItems>
  <dataFields count="1">
    <dataField name="Soma de Total Value" fld="12" baseField="0" baseItem="0" numFmtId="164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B81596-9C67-45CD-96A8-E844403EDC46}" name="Tabela dinâmica8" cacheId="1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E129:E130" firstHeaderRow="1" firstDataRow="1" firstDataCol="0"/>
  <pivotFields count="13">
    <pivotField compact="0" outline="0" showAll="0"/>
    <pivotField compact="0" outline="0" showAll="0"/>
    <pivotField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Items count="1">
    <i/>
  </rowItems>
  <colItems count="1">
    <i/>
  </colItems>
  <dataFields count="1">
    <dataField name="Soma de Total Val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7023C-B26C-4A78-BB36-FA3817B21A01}" name="Tabela dinâmica7" cacheId="1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E133:F137" firstHeaderRow="1" firstDataRow="1" firstDataCol="1"/>
  <pivotFields count="13"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0EF8C-3C96-40FA-BADF-4DB7D1E41BFD}" name="Tabela dinâmica6" cacheId="1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E140:F143" firstHeaderRow="1" firstDataRow="1" firstDataCol="1"/>
  <pivotFields count="13">
    <pivotField compact="0" outline="0" showAll="0"/>
    <pivotField compact="0" outline="0" showAll="0"/>
    <pivotField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axis="axisRow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0A4513CF-01A1-4BCB-AE90-845476AC3280}" sourceName="Plan">
  <pivotTables>
    <pivotTable tabId="3" name="Revenue by Plan Type"/>
    <pivotTable tabId="3" name="Revenue by Auto Renewal"/>
    <pivotTable tabId="3" name="Total Revenue"/>
    <pivotTable tabId="4" name="Tabela dinâmica6"/>
    <pivotTable tabId="4" name="Tabela dinâmica7"/>
    <pivotTable tabId="4" name="Tabela dinâmica8"/>
    <pivotTable tabId="3" name="Tabela dinâmica2"/>
    <pivotTable tabId="3" name="Tabela dinâmica1"/>
  </pivotTables>
  <data>
    <tabular pivotCacheId="651822463">
      <items count="4">
        <i x="1" s="1"/>
        <i x="2" s="1"/>
        <i x="0" s="1"/>
        <i x="3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8FA7144-5DE2-4565-A8E0-6A7C744C5967}" sourceName="Subscription Type">
  <pivotTables>
    <pivotTable tabId="3" name="Tabela dinâmica2"/>
  </pivotTables>
  <data>
    <tabular pivotCacheId="651822463">
      <items count="4">
        <i x="1" s="1"/>
        <i x="0" s="1"/>
        <i x="2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460A9EA-A523-403B-B9AD-4CD1A1F04EAE}" cache="SegmentaçãodeDados_Subscription_Type" caption="Subscription Typ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 1" xr10:uid="{9E9DAB5E-0312-4027-A2AD-D3F9CC86DF5B}" cache="SegmentaçãodeDados_Plan" caption="Plan" style="SlicerStyleLight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2AAC7C-EE96-4447-AAF3-A9269B58A397}" name="Tabela13" displayName="Tabela13" ref="A1:M296" totalsRowShown="0" dataDxfId="13">
  <autoFilter ref="A1:M296" xr:uid="{E52AAC7C-EE96-4447-AAF3-A9269B58A397}"/>
  <tableColumns count="13">
    <tableColumn id="1" xr3:uid="{ADB5AD61-3A5C-408B-9B05-A327ADBC6F29}" name="Subscriber ID" dataDxfId="12"/>
    <tableColumn id="2" xr3:uid="{9F119405-526D-403A-B5BE-A1E3EC860FAF}" name="Name" dataDxfId="11"/>
    <tableColumn id="3" xr3:uid="{0A743392-299F-4E64-A423-68CE859C3076}" name="Plan" dataDxfId="10"/>
    <tableColumn id="4" xr3:uid="{3155DAED-4F86-4A63-9325-CD2DC08620B5}" name="Start Date" dataDxfId="9"/>
    <tableColumn id="5" xr3:uid="{FA52B4C2-DECA-4CDF-9F0D-FCF056832AFD}" name="Auto Renewal" dataDxfId="8"/>
    <tableColumn id="6" xr3:uid="{16BFF67F-A4F9-41AB-9178-297DB99A23CF}" name="Subscription Price" dataDxfId="7" dataCellStyle="Moeda"/>
    <tableColumn id="7" xr3:uid="{FC563F2B-70ED-4311-9CFA-12D928B41D2E}" name="Subscription Type" dataDxfId="6"/>
    <tableColumn id="8" xr3:uid="{D0C33800-F7AF-4AA2-B551-B2AF813945C9}" name="EA Play Season Pass" dataDxfId="5"/>
    <tableColumn id="13" xr3:uid="{0BF18F8F-DDCA-4D85-A72E-A55596A1A7E0}" name="EA Play Season Pass_x000a_Price" dataDxfId="4" dataCellStyle="Moeda"/>
    <tableColumn id="9" xr3:uid="{9DA0E1D9-3A53-4231-8827-252B7BD01F5F}" name="Minecraft Season Pass" dataDxfId="3"/>
    <tableColumn id="10" xr3:uid="{E3B0A3E0-9D3C-447B-A72C-A3CCB91BDD46}" name="Minecraft Season Pass Price" dataDxfId="2" dataCellStyle="Moeda"/>
    <tableColumn id="11" xr3:uid="{09FD626A-8E7E-4F03-B556-BF63653C0281}" name="Coupon Value" dataDxfId="1" dataCellStyle="Moeda"/>
    <tableColumn id="12" xr3:uid="{23EAC3C7-7423-4B09-932A-976DD4DC425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microsoft.com/office/2007/relationships/slicer" Target="../slicers/slicer2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M16" sqref="M1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/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29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2:G26"/>
  <sheetViews>
    <sheetView showGridLines="0" topLeftCell="A3" workbookViewId="0">
      <selection activeCell="D6" sqref="D6"/>
    </sheetView>
  </sheetViews>
  <sheetFormatPr defaultRowHeight="15"/>
  <cols>
    <col min="1" max="1" width="50.5703125" customWidth="1"/>
    <col min="2" max="2" width="19.85546875" bestFit="1" customWidth="1"/>
    <col min="3" max="3" width="10.42578125" customWidth="1"/>
    <col min="4" max="4" width="18.7109375" bestFit="1" customWidth="1"/>
    <col min="5" max="5" width="6.28515625" customWidth="1"/>
    <col min="6" max="6" width="10.42578125" bestFit="1" customWidth="1"/>
    <col min="7" max="7" width="18.7109375" bestFit="1" customWidth="1"/>
    <col min="8" max="8" width="2" customWidth="1"/>
    <col min="9" max="9" width="2" bestFit="1" customWidth="1"/>
    <col min="10" max="21" width="3" bestFit="1" customWidth="1"/>
    <col min="22" max="22" width="6.7109375" bestFit="1" customWidth="1"/>
    <col min="23" max="23" width="10.42578125" bestFit="1" customWidth="1"/>
  </cols>
  <sheetData>
    <row r="2" spans="1:7">
      <c r="C2" s="16"/>
      <c r="G2" s="19"/>
    </row>
    <row r="3" spans="1:7">
      <c r="A3" s="19" t="s">
        <v>313</v>
      </c>
    </row>
    <row r="4" spans="1:7">
      <c r="A4" s="22" t="s">
        <v>314</v>
      </c>
      <c r="C4" t="s">
        <v>315</v>
      </c>
    </row>
    <row r="5" spans="1:7">
      <c r="C5" s="24">
        <v>7633</v>
      </c>
    </row>
    <row r="6" spans="1:7">
      <c r="A6" s="21"/>
    </row>
    <row r="7" spans="1:7">
      <c r="A7" s="20" t="s">
        <v>316</v>
      </c>
      <c r="C7" s="17"/>
    </row>
    <row r="8" spans="1:7">
      <c r="A8" s="23" t="s">
        <v>317</v>
      </c>
      <c r="C8" s="18" t="s">
        <v>13</v>
      </c>
      <c r="D8" t="s">
        <v>315</v>
      </c>
      <c r="F8" s="18" t="s">
        <v>13</v>
      </c>
      <c r="G8" t="s">
        <v>315</v>
      </c>
    </row>
    <row r="9" spans="1:7">
      <c r="C9" t="s">
        <v>29</v>
      </c>
      <c r="D9" s="37">
        <v>444</v>
      </c>
      <c r="F9" t="s">
        <v>29</v>
      </c>
      <c r="G9" s="37">
        <v>444</v>
      </c>
    </row>
    <row r="10" spans="1:7">
      <c r="C10" t="s">
        <v>34</v>
      </c>
      <c r="D10" s="37">
        <v>1801</v>
      </c>
      <c r="F10" t="s">
        <v>34</v>
      </c>
      <c r="G10" s="37">
        <v>1801</v>
      </c>
    </row>
    <row r="11" spans="1:7">
      <c r="C11" t="s">
        <v>25</v>
      </c>
      <c r="D11" s="37">
        <v>5388</v>
      </c>
      <c r="F11" t="s">
        <v>25</v>
      </c>
      <c r="G11" s="37">
        <v>5388</v>
      </c>
    </row>
    <row r="12" spans="1:7">
      <c r="C12" t="s">
        <v>318</v>
      </c>
      <c r="D12" s="37">
        <v>7633</v>
      </c>
      <c r="F12" t="s">
        <v>318</v>
      </c>
      <c r="G12" s="37">
        <v>7633</v>
      </c>
    </row>
    <row r="14" spans="1:7">
      <c r="A14" s="20" t="s">
        <v>319</v>
      </c>
    </row>
    <row r="15" spans="1:7">
      <c r="A15" s="15" t="s">
        <v>320</v>
      </c>
      <c r="C15" s="18" t="s">
        <v>15</v>
      </c>
      <c r="D15" t="s">
        <v>315</v>
      </c>
    </row>
    <row r="16" spans="1:7">
      <c r="C16" t="s">
        <v>30</v>
      </c>
      <c r="D16" s="37">
        <v>3847</v>
      </c>
    </row>
    <row r="17" spans="2:4">
      <c r="C17" t="s">
        <v>26</v>
      </c>
      <c r="D17" s="37">
        <v>3786</v>
      </c>
    </row>
    <row r="18" spans="2:4">
      <c r="C18" t="s">
        <v>318</v>
      </c>
      <c r="D18" s="37">
        <v>7633</v>
      </c>
    </row>
    <row r="22" spans="2:4">
      <c r="B22" s="18" t="s">
        <v>17</v>
      </c>
      <c r="C22" t="s">
        <v>315</v>
      </c>
    </row>
    <row r="23" spans="2:4">
      <c r="B23" t="s">
        <v>31</v>
      </c>
      <c r="C23" s="37">
        <v>1754</v>
      </c>
    </row>
    <row r="24" spans="2:4">
      <c r="B24" t="s">
        <v>27</v>
      </c>
      <c r="C24" s="37">
        <v>3571</v>
      </c>
    </row>
    <row r="25" spans="2:4">
      <c r="B25" t="s">
        <v>35</v>
      </c>
      <c r="C25" s="37">
        <v>2308</v>
      </c>
    </row>
    <row r="26" spans="2:4">
      <c r="B26" t="s">
        <v>318</v>
      </c>
      <c r="C26" s="37">
        <v>7633</v>
      </c>
    </row>
  </sheetData>
  <pageMargins left="0.511811024" right="0.511811024" top="0.78740157499999996" bottom="0.78740157499999996" header="0.31496062000000002" footer="0.31496062000000002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Y143"/>
  <sheetViews>
    <sheetView showGridLines="0" showRowColHeaders="0" tabSelected="1" zoomScale="80" zoomScaleNormal="80" workbookViewId="0">
      <selection activeCell="A6" sqref="A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17.42578125" style="14" customWidth="1"/>
    <col min="2" max="2" width="3.5703125" customWidth="1"/>
    <col min="4" max="4" width="1.85546875" customWidth="1"/>
    <col min="5" max="5" width="18.7109375" hidden="1" customWidth="1"/>
    <col min="6" max="6" width="18.7109375" customWidth="1"/>
    <col min="12" max="12" width="6.5703125" customWidth="1"/>
  </cols>
  <sheetData>
    <row r="1" spans="1:51" s="4" customFormat="1"/>
    <row r="2" spans="1:51" s="4" customFormat="1" ht="39" customHeight="1"/>
    <row r="3" spans="1:51" s="4" customFormat="1" ht="8.25" customHeight="1">
      <c r="B3" s="39" t="s">
        <v>321</v>
      </c>
      <c r="J3" s="38"/>
    </row>
    <row r="4" spans="1:51" s="13" customFormat="1" ht="3" customHeight="1">
      <c r="A4" s="4"/>
    </row>
    <row r="5" spans="1:51" s="13" customFormat="1" ht="3" customHeight="1">
      <c r="A5" s="4"/>
    </row>
    <row r="6" spans="1:51" ht="24" customHeight="1">
      <c r="F6" s="33" t="s">
        <v>322</v>
      </c>
    </row>
    <row r="7" spans="1:51" ht="9.75" customHeight="1"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9.75" customHeight="1"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</row>
    <row r="9" spans="1:51" ht="33" customHeight="1">
      <c r="C9" s="12"/>
      <c r="D9" s="12"/>
      <c r="E9" s="12"/>
      <c r="F9" s="30" t="s">
        <v>323</v>
      </c>
      <c r="G9" s="31"/>
      <c r="H9" s="31"/>
      <c r="I9" s="3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</row>
    <row r="10" spans="1:51">
      <c r="C10" s="12"/>
      <c r="D10" s="12"/>
      <c r="E10" s="12"/>
      <c r="F10" s="28"/>
      <c r="I10" s="29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</row>
    <row r="11" spans="1:51" ht="46.5" customHeight="1">
      <c r="C11" s="12"/>
      <c r="D11" s="12"/>
      <c r="E11" s="12"/>
      <c r="F11" s="34">
        <f>C̳álculos!C5</f>
        <v>7633</v>
      </c>
      <c r="G11" s="35"/>
      <c r="H11" s="35"/>
      <c r="I11" s="36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</row>
    <row r="12" spans="1:51">
      <c r="C12" s="12"/>
      <c r="D12" s="12"/>
      <c r="E12" s="12"/>
      <c r="F12" s="25"/>
      <c r="G12" s="26"/>
      <c r="H12" s="26"/>
      <c r="I12" s="27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</row>
    <row r="13" spans="1:51"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</row>
    <row r="14" spans="1:51"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</row>
    <row r="15" spans="1:51"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</row>
    <row r="16" spans="1:51"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</row>
    <row r="17" spans="3:51"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</row>
    <row r="18" spans="3:51"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</row>
    <row r="19" spans="3:51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</row>
    <row r="20" spans="3:51"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</row>
    <row r="21" spans="3:51"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</row>
    <row r="22" spans="3:51"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</row>
    <row r="23" spans="3:51"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</row>
    <row r="24" spans="3:51"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</row>
    <row r="25" spans="3:51"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</row>
    <row r="26" spans="3:51"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</row>
    <row r="27" spans="3:51"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</row>
    <row r="28" spans="3:51"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</row>
    <row r="29" spans="3:51"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</row>
    <row r="30" spans="3:51"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</row>
    <row r="31" spans="3:51"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</row>
    <row r="32" spans="3:51"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</row>
    <row r="33" spans="3:51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</row>
    <row r="34" spans="3:51"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</row>
    <row r="35" spans="3:51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</row>
    <row r="36" spans="3:51"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</row>
    <row r="37" spans="3:51"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</row>
    <row r="38" spans="3:51"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</row>
    <row r="39" spans="3:51"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</row>
    <row r="40" spans="3:51"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</row>
    <row r="41" spans="3:51"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</row>
    <row r="42" spans="3:51"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</row>
    <row r="43" spans="3:51"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</row>
    <row r="44" spans="3:51"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</row>
    <row r="45" spans="3:51"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</row>
    <row r="46" spans="3:51"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</row>
    <row r="47" spans="3:51"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</row>
    <row r="48" spans="3:51"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</row>
    <row r="49" spans="3:51"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</row>
    <row r="50" spans="3:51"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</row>
    <row r="51" spans="3:51"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</row>
    <row r="52" spans="3:51"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</row>
    <row r="53" spans="3:51"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</row>
    <row r="54" spans="3:51"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</row>
    <row r="55" spans="3:51"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</row>
    <row r="56" spans="3:51"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</row>
    <row r="57" spans="3:51"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</row>
    <row r="58" spans="3:51"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</row>
    <row r="59" spans="3:51"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</row>
    <row r="60" spans="3:51"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</row>
    <row r="61" spans="3:51"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</row>
    <row r="62" spans="3:51"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</row>
    <row r="63" spans="3:51"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</row>
    <row r="64" spans="3:51"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</row>
    <row r="65" spans="3:51"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</row>
    <row r="66" spans="3:51"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</row>
    <row r="67" spans="3:51"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</row>
    <row r="68" spans="3:51"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</row>
    <row r="69" spans="3:51"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</row>
    <row r="70" spans="3:51"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</row>
    <row r="71" spans="3:51"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</row>
    <row r="72" spans="3:51"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</row>
    <row r="73" spans="3:51"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</row>
    <row r="74" spans="3:51"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</row>
    <row r="75" spans="3:51"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</row>
    <row r="76" spans="3:51"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</row>
    <row r="77" spans="3:51"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</row>
    <row r="78" spans="3:51"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</row>
    <row r="79" spans="3:51"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</row>
    <row r="80" spans="3:51"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</row>
    <row r="81" spans="3:51"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</row>
    <row r="82" spans="3:51"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</row>
    <row r="83" spans="3:51"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</row>
    <row r="84" spans="3:51"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</row>
    <row r="85" spans="3:51"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</row>
    <row r="86" spans="3:51"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</row>
    <row r="87" spans="3:51"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</row>
    <row r="88" spans="3:51"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</row>
    <row r="89" spans="3:51"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</row>
    <row r="90" spans="3:51"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</row>
    <row r="91" spans="3:51"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</row>
    <row r="92" spans="3:51"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</row>
    <row r="93" spans="3:51"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</row>
    <row r="94" spans="3:51"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</row>
    <row r="95" spans="3:51"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</row>
    <row r="96" spans="3:51"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</row>
    <row r="97" spans="3:51"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</row>
    <row r="98" spans="3:51"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</row>
    <row r="99" spans="3:51"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</row>
    <row r="100" spans="3:51"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</row>
    <row r="101" spans="3:51"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</row>
    <row r="102" spans="3:51"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</row>
    <row r="103" spans="3:51"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</row>
    <row r="104" spans="3:51"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</row>
    <row r="105" spans="3:51"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</row>
    <row r="106" spans="3:51"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</row>
    <row r="107" spans="3:51"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</row>
    <row r="108" spans="3:51"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</row>
    <row r="109" spans="3:51"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</row>
    <row r="110" spans="3:51"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</row>
    <row r="111" spans="3:51"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</row>
    <row r="112" spans="3:51"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</row>
    <row r="129" spans="5:6">
      <c r="E129" t="s">
        <v>315</v>
      </c>
    </row>
    <row r="130" spans="5:6">
      <c r="E130" s="37">
        <v>7633</v>
      </c>
    </row>
    <row r="132" spans="5:6">
      <c r="E132" s="17"/>
    </row>
    <row r="133" spans="5:6">
      <c r="E133" s="18" t="s">
        <v>13</v>
      </c>
      <c r="F133" t="s">
        <v>315</v>
      </c>
    </row>
    <row r="134" spans="5:6">
      <c r="E134" t="s">
        <v>29</v>
      </c>
      <c r="F134" s="37">
        <v>444</v>
      </c>
    </row>
    <row r="135" spans="5:6">
      <c r="E135" t="s">
        <v>34</v>
      </c>
      <c r="F135" s="37">
        <v>1801</v>
      </c>
    </row>
    <row r="136" spans="5:6">
      <c r="E136" t="s">
        <v>25</v>
      </c>
      <c r="F136" s="37">
        <v>5388</v>
      </c>
    </row>
    <row r="137" spans="5:6">
      <c r="E137" t="s">
        <v>318</v>
      </c>
      <c r="F137" s="37">
        <v>7633</v>
      </c>
    </row>
    <row r="140" spans="5:6">
      <c r="E140" s="18" t="s">
        <v>15</v>
      </c>
      <c r="F140" t="s">
        <v>315</v>
      </c>
    </row>
    <row r="141" spans="5:6">
      <c r="E141" t="s">
        <v>30</v>
      </c>
      <c r="F141" s="37">
        <v>3847</v>
      </c>
    </row>
    <row r="142" spans="5:6">
      <c r="E142" t="s">
        <v>26</v>
      </c>
      <c r="F142" s="37">
        <v>3786</v>
      </c>
    </row>
    <row r="143" spans="5:6">
      <c r="E143" t="s">
        <v>318</v>
      </c>
      <c r="F143" s="37">
        <v>7633</v>
      </c>
    </row>
  </sheetData>
  <mergeCells count="1">
    <mergeCell ref="F11:I11"/>
  </mergeCells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/>
</file>

<file path=customXml/itemProps2.xml><?xml version="1.0" encoding="utf-8"?>
<ds:datastoreItem xmlns:ds="http://schemas.openxmlformats.org/officeDocument/2006/customXml" ds:itemID="{FFD3D529-BCD3-4ECD-9B2A-42924892FFCB}"/>
</file>

<file path=customXml/itemProps3.xml><?xml version="1.0" encoding="utf-8"?>
<ds:datastoreItem xmlns:ds="http://schemas.openxmlformats.org/officeDocument/2006/customXml" ds:itemID="{32608D25-EC36-42FE-A1DC-F778995A6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2026-05-07T15:11:19Z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